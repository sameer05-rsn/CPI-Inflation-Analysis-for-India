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MEER\Downloads\"/>
    </mc:Choice>
  </mc:AlternateContent>
  <xr:revisionPtr revIDLastSave="0" documentId="13_ncr:1_{141C8428-00B6-4E18-AF41-AA772FF71F9C}" xr6:coauthVersionLast="47" xr6:coauthVersionMax="47" xr10:uidLastSave="{00000000-0000-0000-0000-000000000000}"/>
  <bookViews>
    <workbookView xWindow="-110" yWindow="-110" windowWidth="22620" windowHeight="13500" firstSheet="5" activeTab="7" xr2:uid="{2AE3D38F-3F88-4619-9DBD-51C1C954E7E7}"/>
  </bookViews>
  <sheets>
    <sheet name="RAW datasheet" sheetId="3" r:id="rId1"/>
    <sheet name="Main datasheet" sheetId="1" r:id="rId2"/>
    <sheet name="Transposed sheet " sheetId="10" r:id="rId3"/>
    <sheet name="Imputation " sheetId="2" r:id="rId4"/>
    <sheet name="1.Contribuation" sheetId="4" r:id="rId5"/>
    <sheet name="2.Y-O-Y Inflation" sheetId="6" r:id="rId6"/>
    <sheet name="3.M-O-M | Absolute chnage " sheetId="7" r:id="rId7"/>
    <sheet name="4.COVID | Y-O-Y Impact" sheetId="11" r:id="rId8"/>
    <sheet name=" 4.COVID | halfyearly IMP" sheetId="8" r:id="rId9"/>
    <sheet name="5.Crude Oil Price" sheetId="13" r:id="rId10"/>
    <sheet name="Crude Oil FOB Price,5" sheetId="12" r:id="rId11"/>
    <sheet name="notes " sheetId="5" r:id="rId12"/>
  </sheets>
  <definedNames>
    <definedName name="_xlnm._FilterDatabase" localSheetId="1" hidden="1">'Main datasheet'!$A$1:$AH$376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8" i="7" l="1"/>
  <c r="E13" i="13"/>
  <c r="E17" i="13"/>
  <c r="E16" i="13"/>
  <c r="E14" i="13"/>
  <c r="E15"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Y10" i="7"/>
  <c r="Y11" i="7"/>
  <c r="Y12" i="7"/>
  <c r="Y13" i="7"/>
  <c r="Y14" i="7"/>
  <c r="Y15" i="7"/>
  <c r="Y16" i="7"/>
  <c r="Y17" i="7"/>
  <c r="Y18" i="7"/>
  <c r="Y19" i="7"/>
  <c r="Y20" i="7"/>
  <c r="Y21" i="7"/>
  <c r="Y9" i="7"/>
  <c r="V10" i="7"/>
  <c r="V11" i="7"/>
  <c r="V12" i="7"/>
  <c r="V13" i="7"/>
  <c r="V14" i="7"/>
  <c r="V15" i="7"/>
  <c r="V16" i="7"/>
  <c r="V17" i="7"/>
  <c r="V18" i="7"/>
  <c r="V19" i="7"/>
  <c r="V20" i="7"/>
  <c r="V21" i="7"/>
  <c r="V9" i="7"/>
  <c r="S10" i="7"/>
  <c r="S11" i="7"/>
  <c r="S12" i="7"/>
  <c r="S13" i="7"/>
  <c r="S14" i="7"/>
  <c r="S15" i="7"/>
  <c r="S16" i="7"/>
  <c r="S17" i="7"/>
  <c r="S18" i="7"/>
  <c r="S19" i="7"/>
  <c r="S20" i="7"/>
  <c r="S21" i="7"/>
  <c r="S9" i="7"/>
  <c r="AT34" i="5"/>
  <c r="AQ34" i="5"/>
  <c r="AN34" i="5"/>
  <c r="AT33" i="5"/>
  <c r="AQ33" i="5"/>
  <c r="AN33" i="5"/>
  <c r="AT32" i="5"/>
  <c r="AQ32" i="5"/>
  <c r="AN32" i="5"/>
  <c r="AT31" i="5"/>
  <c r="AQ31" i="5"/>
  <c r="AN31" i="5"/>
  <c r="AT30" i="5"/>
  <c r="AQ30" i="5"/>
  <c r="AN30" i="5"/>
  <c r="AT29" i="5"/>
  <c r="AQ29" i="5"/>
  <c r="AN29" i="5"/>
  <c r="AT28" i="5"/>
  <c r="AQ28" i="5"/>
  <c r="AN28" i="5"/>
  <c r="AT27" i="5"/>
  <c r="AQ27" i="5"/>
  <c r="AN27" i="5"/>
  <c r="AT26" i="5"/>
  <c r="AQ26" i="5"/>
  <c r="AN26" i="5"/>
  <c r="AT25" i="5"/>
  <c r="AQ25" i="5"/>
  <c r="AN25" i="5"/>
  <c r="AT24" i="5"/>
  <c r="AQ24" i="5"/>
  <c r="AN24" i="5"/>
  <c r="AT23" i="5"/>
  <c r="AQ23" i="5"/>
  <c r="AN23" i="5"/>
  <c r="AT22" i="5"/>
  <c r="AQ22" i="5"/>
  <c r="AN22" i="5"/>
  <c r="G9" i="6"/>
  <c r="G10" i="6"/>
  <c r="G11" i="6"/>
  <c r="G12" i="6"/>
  <c r="G13" i="6"/>
  <c r="G14" i="6"/>
  <c r="R13" i="11"/>
  <c r="O13" i="11"/>
  <c r="H13" i="11"/>
  <c r="K13" i="11"/>
  <c r="K18" i="11"/>
  <c r="R14" i="11"/>
  <c r="R15" i="11"/>
  <c r="R16" i="11"/>
  <c r="R17" i="11"/>
  <c r="R18" i="11"/>
  <c r="R19" i="11"/>
  <c r="R20" i="11"/>
  <c r="R21" i="11"/>
  <c r="O14" i="11"/>
  <c r="O15" i="11"/>
  <c r="O16" i="11"/>
  <c r="O17" i="11"/>
  <c r="O18" i="11"/>
  <c r="O19" i="11"/>
  <c r="O20" i="11"/>
  <c r="O21" i="11"/>
  <c r="K14" i="11"/>
  <c r="K15" i="11"/>
  <c r="K16" i="11"/>
  <c r="K17" i="11"/>
  <c r="K19" i="11"/>
  <c r="K20" i="11"/>
  <c r="K21" i="11"/>
  <c r="H14" i="11"/>
  <c r="H15" i="11"/>
  <c r="H16" i="11"/>
  <c r="H17" i="11"/>
  <c r="H18" i="11"/>
  <c r="H19" i="11"/>
  <c r="H20" i="11"/>
  <c r="H21" i="11"/>
  <c r="G29" i="7"/>
  <c r="G30" i="7"/>
  <c r="G31" i="7"/>
  <c r="G32" i="7"/>
  <c r="G33" i="7"/>
  <c r="G34" i="7"/>
  <c r="G35" i="7"/>
  <c r="G36" i="7"/>
  <c r="G37" i="7"/>
  <c r="G38" i="7"/>
  <c r="G39" i="7"/>
  <c r="N8" i="4"/>
  <c r="P13" i="4"/>
  <c r="P9" i="4"/>
  <c r="P10" i="4"/>
  <c r="P11" i="4"/>
  <c r="P12" i="4"/>
  <c r="P8" i="4"/>
  <c r="O9" i="4"/>
  <c r="O10" i="4"/>
  <c r="O11" i="4"/>
  <c r="O12" i="4"/>
  <c r="O13" i="4"/>
  <c r="O8" i="4"/>
  <c r="N9" i="4"/>
  <c r="N10" i="4"/>
  <c r="N11" i="4"/>
  <c r="N12" i="4"/>
  <c r="N13" i="4"/>
  <c r="H79" i="2"/>
  <c r="I79" i="2"/>
  <c r="J79" i="2"/>
  <c r="K79" i="2"/>
  <c r="L79" i="2"/>
  <c r="M79" i="2"/>
  <c r="N79" i="2"/>
  <c r="O79" i="2"/>
  <c r="P79" i="2"/>
  <c r="Q79" i="2"/>
  <c r="R79" i="2"/>
  <c r="S79" i="2"/>
  <c r="T79" i="2"/>
  <c r="U79" i="2"/>
  <c r="V79" i="2"/>
  <c r="W79" i="2"/>
  <c r="X79" i="2"/>
  <c r="Y79" i="2"/>
  <c r="Z79" i="2"/>
  <c r="AA79" i="2"/>
  <c r="AB79" i="2"/>
  <c r="AC79" i="2"/>
  <c r="AD79" i="2"/>
  <c r="AE79" i="2"/>
  <c r="AF79" i="2"/>
  <c r="AG79" i="2"/>
  <c r="G79" i="2"/>
  <c r="H72" i="2"/>
  <c r="I72" i="2"/>
  <c r="J72" i="2"/>
  <c r="K72" i="2"/>
  <c r="L72" i="2"/>
  <c r="M72" i="2"/>
  <c r="N72" i="2"/>
  <c r="O72" i="2"/>
  <c r="P72" i="2"/>
  <c r="Q72" i="2"/>
  <c r="R72" i="2"/>
  <c r="S72" i="2"/>
  <c r="T72" i="2"/>
  <c r="U72" i="2"/>
  <c r="V72" i="2"/>
  <c r="W72" i="2"/>
  <c r="X72" i="2"/>
  <c r="Y72" i="2"/>
  <c r="Z72" i="2"/>
  <c r="AA72" i="2"/>
  <c r="AB72" i="2"/>
  <c r="AC72" i="2"/>
  <c r="AD72" i="2"/>
  <c r="AE72" i="2"/>
  <c r="AF72" i="2"/>
  <c r="AG72" i="2"/>
  <c r="G72" i="2"/>
  <c r="H65" i="2"/>
  <c r="I65" i="2"/>
  <c r="J65" i="2"/>
  <c r="K65" i="2"/>
  <c r="L65" i="2"/>
  <c r="M65" i="2"/>
  <c r="N65" i="2"/>
  <c r="O65" i="2"/>
  <c r="P65" i="2"/>
  <c r="Q65" i="2"/>
  <c r="R65" i="2"/>
  <c r="S65" i="2"/>
  <c r="T65" i="2"/>
  <c r="U65" i="2"/>
  <c r="V65" i="2"/>
  <c r="W65" i="2"/>
  <c r="X65" i="2"/>
  <c r="Y65" i="2"/>
  <c r="Z65" i="2"/>
  <c r="AA65" i="2"/>
  <c r="AB65" i="2"/>
  <c r="AC65" i="2"/>
  <c r="AD65" i="2"/>
  <c r="AE65" i="2"/>
  <c r="AF65" i="2"/>
  <c r="AG65" i="2"/>
  <c r="G65" i="2"/>
  <c r="Z45" i="2"/>
  <c r="Z44" i="2"/>
  <c r="AC45" i="2"/>
  <c r="AD45" i="2"/>
  <c r="AE45" i="2"/>
  <c r="AF45" i="2"/>
  <c r="AG45" i="2"/>
  <c r="AC44" i="2"/>
  <c r="AD44" i="2"/>
  <c r="AE44" i="2"/>
  <c r="AF44" i="2"/>
  <c r="AG44" i="2"/>
  <c r="AB45" i="2"/>
  <c r="AB44" i="2"/>
  <c r="W45" i="2"/>
  <c r="W44" i="2"/>
  <c r="U44" i="2"/>
  <c r="V44" i="2"/>
  <c r="U45" i="2"/>
  <c r="V45" i="2"/>
  <c r="T45" i="2"/>
  <c r="T44" i="2"/>
  <c r="R45" i="2"/>
  <c r="R44" i="2"/>
  <c r="H45" i="2"/>
  <c r="H44" i="2"/>
  <c r="I45" i="2"/>
  <c r="J45" i="2"/>
  <c r="K45" i="2"/>
  <c r="L45" i="2"/>
  <c r="M45" i="2"/>
  <c r="N45" i="2"/>
  <c r="O45" i="2"/>
  <c r="P45" i="2"/>
  <c r="Q45" i="2"/>
  <c r="S45" i="2"/>
  <c r="X45" i="2"/>
  <c r="Y45" i="2"/>
  <c r="AA45" i="2"/>
  <c r="G45" i="2"/>
  <c r="AD28" i="2"/>
  <c r="AC28" i="2"/>
  <c r="AE28" i="2"/>
  <c r="AF28" i="2"/>
  <c r="AG28" i="2"/>
  <c r="AC27" i="2"/>
  <c r="AD27" i="2"/>
  <c r="AE27" i="2"/>
  <c r="AF27" i="2"/>
  <c r="AG27" i="2"/>
  <c r="AB28" i="2"/>
  <c r="AB27" i="2"/>
  <c r="Z28" i="2"/>
  <c r="Z27" i="2"/>
  <c r="U28" i="2"/>
  <c r="V28" i="2"/>
  <c r="W28" i="2"/>
  <c r="U27" i="2"/>
  <c r="V27" i="2"/>
  <c r="W27" i="2"/>
  <c r="T28" i="2"/>
  <c r="T27" i="2"/>
  <c r="R28" i="2"/>
  <c r="R27" i="2"/>
  <c r="H28" i="2"/>
  <c r="H27" i="2"/>
  <c r="I28" i="2"/>
  <c r="J28" i="2"/>
  <c r="K28" i="2"/>
  <c r="L28" i="2"/>
  <c r="M28" i="2"/>
  <c r="N28" i="2"/>
  <c r="O28" i="2"/>
  <c r="P28" i="2"/>
  <c r="Q28" i="2"/>
  <c r="S28" i="2"/>
  <c r="Y28" i="2"/>
  <c r="AA28" i="2"/>
  <c r="G28" i="2"/>
  <c r="AG10" i="2"/>
  <c r="Z11" i="2"/>
  <c r="Z10" i="2"/>
  <c r="Y11" i="2"/>
  <c r="AA11" i="2"/>
  <c r="X11" i="2"/>
  <c r="AC11" i="2"/>
  <c r="AD11" i="2"/>
  <c r="AE11" i="2"/>
  <c r="AF11" i="2"/>
  <c r="AG11" i="2"/>
  <c r="AB11" i="2"/>
  <c r="AC10" i="2"/>
  <c r="AD10" i="2"/>
  <c r="AE10" i="2"/>
  <c r="AF10" i="2"/>
  <c r="AB10" i="2"/>
  <c r="V11" i="2"/>
  <c r="W11" i="2"/>
  <c r="U11" i="2"/>
  <c r="U10" i="2"/>
  <c r="V10" i="2"/>
  <c r="W10" i="2"/>
  <c r="T11" i="2"/>
  <c r="T10" i="2"/>
  <c r="S11" i="2"/>
  <c r="R11" i="2"/>
  <c r="R10" i="2"/>
  <c r="H11" i="2"/>
  <c r="H10" i="2"/>
  <c r="J11" i="2"/>
  <c r="K11" i="2"/>
  <c r="L11" i="2"/>
  <c r="M11" i="2"/>
  <c r="N11" i="2"/>
  <c r="O11" i="2"/>
  <c r="P11" i="2"/>
  <c r="Q11" i="2"/>
  <c r="I11" i="2"/>
  <c r="G11" i="2"/>
  <c r="P15" i="4" l="1"/>
  <c r="S8" i="4" s="1"/>
  <c r="O15" i="4"/>
  <c r="R9" i="4" s="1"/>
  <c r="N15" i="4"/>
  <c r="Q8" i="4" s="1"/>
  <c r="Q15" i="4" l="1"/>
  <c r="S10" i="4"/>
  <c r="S9" i="4"/>
  <c r="S11" i="4"/>
  <c r="S13" i="4"/>
  <c r="S15" i="4"/>
  <c r="S12" i="4"/>
  <c r="R12" i="4"/>
  <c r="R15" i="4"/>
  <c r="R10" i="4"/>
  <c r="R13" i="4"/>
  <c r="R11" i="4"/>
  <c r="R8" i="4"/>
  <c r="Q9" i="4"/>
  <c r="Q10" i="4"/>
  <c r="Q12" i="4"/>
  <c r="Q13" i="4"/>
  <c r="Q11" i="4"/>
</calcChain>
</file>

<file path=xl/sharedStrings.xml><?xml version="1.0" encoding="utf-8"?>
<sst xmlns="http://schemas.openxmlformats.org/spreadsheetml/2006/main" count="3637" uniqueCount="322">
  <si>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</si>
  <si>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</si>
  <si>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</si>
  <si>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</si>
  <si>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</si>
  <si>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</si>
  <si>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</si>
  <si>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</si>
  <si>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</si>
  <si>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</si>
  <si>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</si>
  <si>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</si>
  <si>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</si>
  <si>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</si>
  <si>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</si>
  <si>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</si>
  <si>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</si>
  <si>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</si>
  <si>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</si>
  <si>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</si>
  <si>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</si>
  <si>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</si>
  <si>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</si>
  <si>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</si>
  <si>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</si>
  <si>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</si>
  <si>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</si>
  <si>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</si>
  <si>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</si>
  <si>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</si>
  <si>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</si>
  <si>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</si>
  <si>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</si>
  <si>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</si>
  <si>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</si>
  <si>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</si>
  <si>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</si>
  <si>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</si>
  <si>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</si>
  <si>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</si>
  <si>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</si>
  <si>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</si>
  <si>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</si>
  <si>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</si>
  <si>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</si>
  <si>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</si>
  <si>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</si>
  <si>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</si>
  <si>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</si>
  <si>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 xml:space="preserve">Leaner impuation </t>
  </si>
  <si>
    <t>start value + ( end value - start value ) *( I / n+1 )</t>
  </si>
  <si>
    <t xml:space="preserve">I = which position of  missing value </t>
  </si>
  <si>
    <t xml:space="preserve">1 st or 2nd </t>
  </si>
  <si>
    <t xml:space="preserve">n = number of total msiisng value </t>
  </si>
  <si>
    <t>AG9+(AG12-AG9)*(1/3)</t>
  </si>
  <si>
    <t xml:space="preserve">April month was missing doing leaner imputation </t>
  </si>
  <si>
    <t>Category</t>
  </si>
  <si>
    <t>Rural+Ubran</t>
  </si>
  <si>
    <t>Broader mapped category</t>
  </si>
  <si>
    <t>Food</t>
  </si>
  <si>
    <t>Luxury</t>
  </si>
  <si>
    <t>Essentials</t>
  </si>
  <si>
    <t>Household Services</t>
  </si>
  <si>
    <t xml:space="preserve">Household Services	</t>
  </si>
  <si>
    <t>Overall Index</t>
  </si>
  <si>
    <t>% of Rural</t>
  </si>
  <si>
    <t>% of Urban</t>
  </si>
  <si>
    <t>% of Rural+Ubran</t>
  </si>
  <si>
    <t>total</t>
  </si>
  <si>
    <t xml:space="preserve">rural housing data missing </t>
  </si>
  <si>
    <t>Sum of Rural+Ubran</t>
  </si>
  <si>
    <t>Sum of Urban</t>
  </si>
  <si>
    <t>Grand Total</t>
  </si>
  <si>
    <t>Row Labels</t>
  </si>
  <si>
    <t>Sum of Rural</t>
  </si>
  <si>
    <t xml:space="preserve">Note:- we have do the only for Rural+Urban because we don’t have the data for  housing in Rural </t>
  </si>
  <si>
    <t xml:space="preserve">Imputation </t>
  </si>
  <si>
    <t xml:space="preserve">Filling the missing value by doing leaner  impuation </t>
  </si>
  <si>
    <t xml:space="preserve">April month was missing the 2019 year in every sector </t>
  </si>
  <si>
    <t xml:space="preserve">imputated by leaner impuation </t>
  </si>
  <si>
    <t>Formula</t>
  </si>
  <si>
    <r>
      <t>Contributes 52%</t>
    </r>
    <r>
      <rPr>
        <sz val="11"/>
        <color theme="1"/>
        <rFont val="Calibri"/>
        <family val="2"/>
        <scheme val="minor"/>
      </rPr>
      <t xml:space="preserve"> to the total CPI basket (Rural+Urban),</t>
    </r>
  </si>
  <si>
    <t>Making it the largest contributing category by far.</t>
  </si>
  <si>
    <t xml:space="preserve">the total % adds up to 99% becasuse </t>
  </si>
  <si>
    <t>CPI  Distribution by Broader Category – Rural, Urban, and Combined"</t>
  </si>
  <si>
    <t xml:space="preserve">CPI Index by Category and Broader Classification </t>
  </si>
  <si>
    <t>Rural, Urban, and Combined (May 2023)</t>
  </si>
  <si>
    <t>Year-on-Year CPI Inflation Rate (Rural + Urban Combined): 2017 to 2023</t>
  </si>
  <si>
    <t xml:space="preserve">Highest </t>
  </si>
  <si>
    <t>year</t>
  </si>
  <si>
    <t>food</t>
  </si>
  <si>
    <t>M-O-M inlation %</t>
  </si>
  <si>
    <t xml:space="preserve">y-o-y inflation </t>
  </si>
  <si>
    <t>category</t>
  </si>
  <si>
    <t>the biggest individual contributor to the food basket inflation for the 12 months ending May 2023."</t>
  </si>
  <si>
    <t xml:space="preserve">The annual inflation rate for spices reached, the highest among all food categories, making it </t>
  </si>
  <si>
    <t>Note :-</t>
  </si>
  <si>
    <t>Apr 2019 – Sep 2019</t>
  </si>
  <si>
    <t>Oct 2019 – Mar 2020</t>
  </si>
  <si>
    <t>Apr 2020 – Sep 2020</t>
  </si>
  <si>
    <t xml:space="preserve">Oct 2020 – Mar 2021	</t>
  </si>
  <si>
    <t xml:space="preserve">Rural </t>
  </si>
  <si>
    <t>Oct 2018 – Mar 2019</t>
  </si>
  <si>
    <t>Apr 2018 – Sep 2018</t>
  </si>
  <si>
    <t>Apr 2021 – Sep 2021</t>
  </si>
  <si>
    <t>Oct 2021 – Mar 2022</t>
  </si>
  <si>
    <t>Rural+urban</t>
  </si>
  <si>
    <t>urban</t>
  </si>
  <si>
    <t xml:space="preserve">Rural+Urban </t>
  </si>
  <si>
    <t>2018-19</t>
  </si>
  <si>
    <t>2018-2019</t>
  </si>
  <si>
    <t>2019-2020</t>
  </si>
  <si>
    <t>2020-2021</t>
  </si>
  <si>
    <t>2021-2022</t>
  </si>
  <si>
    <t>sector</t>
  </si>
  <si>
    <t xml:space="preserve">covid-19 </t>
  </si>
  <si>
    <t>inflation %</t>
  </si>
  <si>
    <t>Inflation %</t>
  </si>
  <si>
    <t xml:space="preserve">No Data for december </t>
  </si>
  <si>
    <t>Year with Highest Inflation: 2019 (7.7%)</t>
  </si>
  <si>
    <t>Question 2</t>
  </si>
  <si>
    <t xml:space="preserve">Reason </t>
  </si>
  <si>
    <t>Probable Reasons Behind 2019 Spike:</t>
  </si>
  <si>
    <r>
      <t>1. Food Price Surge</t>
    </r>
    <r>
      <rPr>
        <sz val="11"/>
        <color theme="1"/>
        <rFont val="Calibri"/>
        <family val="2"/>
        <scheme val="minor"/>
      </rPr>
      <t>:</t>
    </r>
  </si>
  <si>
    <r>
      <t xml:space="preserve">Major </t>
    </r>
    <r>
      <rPr>
        <b/>
        <sz val="11"/>
        <color theme="1"/>
        <rFont val="Calibri"/>
        <family val="2"/>
        <scheme val="minor"/>
      </rPr>
      <t>increase in vegetable and onion prices</t>
    </r>
    <r>
      <rPr>
        <sz val="11"/>
        <color theme="1"/>
        <rFont val="Calibri"/>
        <family val="2"/>
        <scheme val="minor"/>
      </rPr>
      <t xml:space="preserve"> (onions surged over 300% in some regions due to delayed monsoons and crop loss).</t>
    </r>
  </si>
  <si>
    <r>
      <t xml:space="preserve">Overall </t>
    </r>
    <r>
      <rPr>
        <b/>
        <sz val="11"/>
        <color theme="1"/>
        <rFont val="Calibri"/>
        <family val="2"/>
        <scheme val="minor"/>
      </rPr>
      <t>food inflation shot up</t>
    </r>
    <r>
      <rPr>
        <sz val="11"/>
        <color theme="1"/>
        <rFont val="Calibri"/>
        <family val="2"/>
        <scheme val="minor"/>
      </rPr>
      <t xml:space="preserve"> after being subdued in earlier years.</t>
    </r>
  </si>
  <si>
    <r>
      <t>2. Supply Chain Disruptions</t>
    </r>
    <r>
      <rPr>
        <sz val="11"/>
        <color theme="1"/>
        <rFont val="Calibri"/>
        <family val="2"/>
        <scheme val="minor"/>
      </rPr>
      <t>:</t>
    </r>
  </si>
  <si>
    <r>
      <t xml:space="preserve">Unseasonal rains and </t>
    </r>
    <r>
      <rPr>
        <b/>
        <sz val="11"/>
        <color theme="1"/>
        <rFont val="Calibri"/>
        <family val="2"/>
        <scheme val="minor"/>
      </rPr>
      <t>floods in key agricultural states</t>
    </r>
    <r>
      <rPr>
        <sz val="11"/>
        <color theme="1"/>
        <rFont val="Calibri"/>
        <family val="2"/>
        <scheme val="minor"/>
      </rPr>
      <t xml:space="preserve"> (like Maharashtra, Karnataka, Bihar) disrupted supply.</t>
    </r>
  </si>
  <si>
    <r>
      <t>3. Crude Oil Prices</t>
    </r>
    <r>
      <rPr>
        <sz val="11"/>
        <color theme="1"/>
        <rFont val="Calibri"/>
        <family val="2"/>
        <scheme val="minor"/>
      </rPr>
      <t>:</t>
    </r>
  </si>
  <si>
    <r>
      <t>International oil prices rose</t>
    </r>
    <r>
      <rPr>
        <sz val="11"/>
        <color theme="1"/>
        <rFont val="Calibri"/>
        <family val="2"/>
        <scheme val="minor"/>
      </rPr>
      <t>, increasing transportation and energy-related costs.</t>
    </r>
  </si>
  <si>
    <r>
      <t>4. Currency Depreciation</t>
    </r>
    <r>
      <rPr>
        <sz val="11"/>
        <color theme="1"/>
        <rFont val="Calibri"/>
        <family val="2"/>
        <scheme val="minor"/>
      </rPr>
      <t>:</t>
    </r>
  </si>
  <si>
    <r>
      <t xml:space="preserve">The </t>
    </r>
    <r>
      <rPr>
        <b/>
        <sz val="11"/>
        <color theme="1"/>
        <rFont val="Calibri"/>
        <family val="2"/>
        <scheme val="minor"/>
      </rPr>
      <t>Indian Rupee depreciated</t>
    </r>
    <r>
      <rPr>
        <sz val="11"/>
        <color theme="1"/>
        <rFont val="Calibri"/>
        <family val="2"/>
        <scheme val="minor"/>
      </rPr>
      <t xml:space="preserve"> during this period, making imports (especially oil) costlier.</t>
    </r>
  </si>
  <si>
    <t xml:space="preserve">the highest inflation due to a food supply shock, monsoon irregularities, and global oil pressures.
</t>
  </si>
  <si>
    <t>Lowest</t>
  </si>
  <si>
    <t>Part 1</t>
  </si>
  <si>
    <t>Part 2</t>
  </si>
  <si>
    <t xml:space="preserve">Annunal  inflation for 12 month period </t>
  </si>
  <si>
    <t>Rural inlation %</t>
  </si>
  <si>
    <t>Urban inlation %</t>
  </si>
  <si>
    <t>Rural+Urban inlation %</t>
  </si>
  <si>
    <t>M-O-M Trends in the Food Bucket (June 2022 – May 2023)</t>
  </si>
  <si>
    <t>Question 3</t>
  </si>
  <si>
    <t>M-O-M</t>
  </si>
  <si>
    <t>FOOD SECTOR</t>
  </si>
  <si>
    <t xml:space="preserve">(current month -previous month )/previous month </t>
  </si>
  <si>
    <t xml:space="preserve">formula </t>
  </si>
  <si>
    <t>part 2</t>
  </si>
  <si>
    <t>the Percentage Change (YoY Inflation)</t>
  </si>
  <si>
    <t xml:space="preserve">/ we have to show the absolute change </t>
  </si>
  <si>
    <t>Absolute Change=New Value−Old Value</t>
  </si>
  <si>
    <t>173.7−155=18.7</t>
  </si>
  <si>
    <t>Absolute change</t>
  </si>
  <si>
    <t>Absolute Changes in Inflation (Jun'22 to May'23)</t>
  </si>
  <si>
    <t>NOTE  :-</t>
  </si>
  <si>
    <t>Broad food category saw its highest price surge in June 2022</t>
  </si>
  <si>
    <t>The lowest price changes (i.e., actual deflation) occurred in December 2022 and February 2023</t>
  </si>
  <si>
    <t>Question 4</t>
  </si>
  <si>
    <t>Y-O-Y</t>
  </si>
  <si>
    <t>6 monthly</t>
  </si>
  <si>
    <t>COVID-19</t>
  </si>
  <si>
    <t>Impact of COVID-19 on Inflation Trends  A Pre- and Post-Pandemic Analysis of Food, Healthcare, and Essential Services</t>
  </si>
  <si>
    <t>CPI Inflation (Food)</t>
  </si>
  <si>
    <t>2018–2019</t>
  </si>
  <si>
    <r>
      <t xml:space="preserve">0.3% </t>
    </r>
    <r>
      <rPr>
        <i/>
        <sz val="11"/>
        <color theme="1"/>
        <rFont val="Calibri"/>
        <family val="2"/>
        <scheme val="minor"/>
      </rPr>
      <t>(very low)</t>
    </r>
  </si>
  <si>
    <t>2019–2020</t>
  </si>
  <si>
    <r>
      <t xml:space="preserve">6.6% </t>
    </r>
    <r>
      <rPr>
        <i/>
        <sz val="11"/>
        <color theme="1"/>
        <rFont val="Calibri"/>
        <family val="2"/>
        <scheme val="minor"/>
      </rPr>
      <t>(sharp rise)</t>
    </r>
  </si>
  <si>
    <t>2020–2021</t>
  </si>
  <si>
    <r>
      <t xml:space="preserve">4.1% </t>
    </r>
    <r>
      <rPr>
        <i/>
        <sz val="11"/>
        <color theme="1"/>
        <rFont val="Calibri"/>
        <family val="2"/>
        <scheme val="minor"/>
      </rPr>
      <t>(still elevated)</t>
    </r>
  </si>
  <si>
    <t>2021–2022</t>
  </si>
  <si>
    <r>
      <t xml:space="preserve">5.8% </t>
    </r>
    <r>
      <rPr>
        <i/>
        <sz val="11"/>
        <color theme="1"/>
        <rFont val="Calibri"/>
        <family val="2"/>
        <scheme val="minor"/>
      </rPr>
      <t>(remains high)</t>
    </r>
  </si>
  <si>
    <r>
      <t>Pre-COVID</t>
    </r>
    <r>
      <rPr>
        <sz val="11"/>
        <color theme="1"/>
        <rFont val="Calibri"/>
        <family val="2"/>
        <scheme val="minor"/>
      </rPr>
      <t xml:space="preserve"> food inflation was low (0.3%), but spike  to 6.6% just before the pandemic,</t>
    </r>
  </si>
  <si>
    <t>likely due to supply-side issues and economic slowdown</t>
  </si>
  <si>
    <r>
      <t>Post-COVID</t>
    </r>
    <r>
      <rPr>
        <sz val="11"/>
        <color theme="1"/>
        <rFont val="Calibri"/>
        <family val="2"/>
        <scheme val="minor"/>
      </rPr>
      <t xml:space="preserve">, food prices remained </t>
    </r>
    <r>
      <rPr>
        <b/>
        <sz val="11"/>
        <color theme="1"/>
        <rFont val="Calibri"/>
        <family val="2"/>
        <scheme val="minor"/>
      </rPr>
      <t>consistently elevated</t>
    </r>
    <r>
      <rPr>
        <sz val="11"/>
        <color theme="1"/>
        <rFont val="Calibri"/>
        <family val="2"/>
        <scheme val="minor"/>
      </rPr>
      <t xml:space="preserve">, pointing to supply chain disruptions, </t>
    </r>
  </si>
  <si>
    <t xml:space="preserve">  panic buying, and logistics constraints during lockdowns.</t>
  </si>
  <si>
    <t xml:space="preserve"> 1. Food Sector</t>
  </si>
  <si>
    <t xml:space="preserve"> 2. Essentials Sector</t>
  </si>
  <si>
    <t>CPI Inflation (Essentials)</t>
  </si>
  <si>
    <r>
      <t>7.8%</t>
    </r>
    <r>
      <rPr>
        <i/>
        <sz val="11"/>
        <color theme="1"/>
        <rFont val="Calibri"/>
        <family val="2"/>
        <scheme val="minor"/>
      </rPr>
      <t>(significan spike)</t>
    </r>
  </si>
  <si>
    <r>
      <t>Pre-COVID</t>
    </r>
    <r>
      <rPr>
        <sz val="11"/>
        <color theme="1"/>
        <rFont val="Calibri"/>
        <family val="2"/>
        <scheme val="minor"/>
      </rPr>
      <t xml:space="preserve"> inflation in essentials was </t>
    </r>
    <r>
      <rPr>
        <b/>
        <sz val="11"/>
        <color theme="1"/>
        <rFont val="Calibri"/>
        <family val="2"/>
        <scheme val="minor"/>
      </rPr>
      <t>stable and low</t>
    </r>
    <r>
      <rPr>
        <sz val="11"/>
        <color theme="1"/>
        <rFont val="Calibri"/>
        <family val="2"/>
        <scheme val="minor"/>
      </rPr>
      <t>.</t>
    </r>
  </si>
  <si>
    <r>
      <t xml:space="preserve">After the lockdown, </t>
    </r>
    <r>
      <rPr>
        <b/>
        <sz val="11"/>
        <color theme="1"/>
        <rFont val="Calibri"/>
        <family val="2"/>
        <scheme val="minor"/>
      </rPr>
      <t>prices surged</t>
    </r>
    <r>
      <rPr>
        <sz val="11"/>
        <color theme="1"/>
        <rFont val="Calibri"/>
        <family val="2"/>
        <scheme val="minor"/>
      </rPr>
      <t>, possibly due to limited access, higher transportation costs</t>
    </r>
  </si>
  <si>
    <t>and increased demand for household essentials and sanitation</t>
  </si>
  <si>
    <r>
      <t>Conclusion</t>
    </r>
    <r>
      <rPr>
        <sz val="11"/>
        <color theme="1"/>
        <rFont val="Calibri"/>
        <family val="2"/>
        <scheme val="minor"/>
      </rPr>
      <t xml:space="preserve">: Essentials became </t>
    </r>
    <r>
      <rPr>
        <b/>
        <sz val="11"/>
        <color theme="1"/>
        <rFont val="Calibri"/>
        <family val="2"/>
        <scheme val="minor"/>
      </rPr>
      <t>significantly more expensive post-pandemic</t>
    </r>
    <r>
      <rPr>
        <sz val="11"/>
        <color theme="1"/>
        <rFont val="Calibri"/>
        <family val="2"/>
        <scheme val="minor"/>
      </rPr>
      <t>,</t>
    </r>
  </si>
  <si>
    <t>indicating increased pressure on household budgets.</t>
  </si>
  <si>
    <t>CPI Inflation (Health)</t>
  </si>
  <si>
    <r>
      <t xml:space="preserve">8.1% </t>
    </r>
    <r>
      <rPr>
        <i/>
        <sz val="11"/>
        <color theme="1"/>
        <rFont val="Calibri"/>
        <family val="2"/>
        <scheme val="minor"/>
      </rPr>
      <t>(already high)</t>
    </r>
  </si>
  <si>
    <r>
      <t xml:space="preserve">Healthcare was </t>
    </r>
    <r>
      <rPr>
        <b/>
        <sz val="11"/>
        <color theme="1"/>
        <rFont val="Calibri"/>
        <family val="2"/>
        <scheme val="minor"/>
      </rPr>
      <t>already a high-inflation sector</t>
    </r>
    <r>
      <rPr>
        <sz val="11"/>
        <color theme="1"/>
        <rFont val="Calibri"/>
        <family val="2"/>
        <scheme val="minor"/>
      </rPr>
      <t xml:space="preserve"> pre-COVID.</t>
    </r>
  </si>
  <si>
    <r>
      <t xml:space="preserve">After the pandemic onset, it </t>
    </r>
    <r>
      <rPr>
        <b/>
        <sz val="11"/>
        <color theme="1"/>
        <rFont val="Calibri"/>
        <family val="2"/>
        <scheme val="minor"/>
      </rPr>
      <t>returned to high inflation levels</t>
    </r>
    <r>
      <rPr>
        <sz val="11"/>
        <color theme="1"/>
        <rFont val="Calibri"/>
        <family val="2"/>
        <scheme val="minor"/>
      </rPr>
      <t>, reflecting increased</t>
    </r>
  </si>
  <si>
    <t>demand for healthcare, medicines, testing, insurance, and private services.</t>
  </si>
  <si>
    <r>
      <t>Conclusion</t>
    </r>
    <r>
      <rPr>
        <sz val="11"/>
        <color theme="1"/>
        <rFont val="Calibri"/>
        <family val="2"/>
        <scheme val="minor"/>
      </rPr>
      <t xml:space="preserve">: COVID-19 </t>
    </r>
    <r>
      <rPr>
        <b/>
        <sz val="11"/>
        <color theme="1"/>
        <rFont val="Calibri"/>
        <family val="2"/>
        <scheme val="minor"/>
      </rPr>
      <t>reinforced healthcare inflation</t>
    </r>
    <r>
      <rPr>
        <sz val="11"/>
        <color theme="1"/>
        <rFont val="Calibri"/>
        <family val="2"/>
        <scheme val="minor"/>
      </rPr>
      <t>, making access to medical</t>
    </r>
  </si>
  <si>
    <t>services more expensive for the average citizen.</t>
  </si>
  <si>
    <t xml:space="preserve"> 3. Healthcare Sector</t>
  </si>
  <si>
    <t>Pre-COVID Avg</t>
  </si>
  <si>
    <t>Post-COVID Avg</t>
  </si>
  <si>
    <t>Change</t>
  </si>
  <si>
    <r>
      <t xml:space="preserve">The </t>
    </r>
    <r>
      <rPr>
        <b/>
        <sz val="11"/>
        <color theme="1"/>
        <rFont val="Calibri"/>
        <family val="2"/>
        <scheme val="minor"/>
      </rPr>
      <t>CPI inflation post-March 2020</t>
    </r>
    <r>
      <rPr>
        <sz val="11"/>
        <color theme="1"/>
        <rFont val="Calibri"/>
        <family val="2"/>
        <scheme val="minor"/>
      </rPr>
      <t xml:space="preserve"> shows a </t>
    </r>
    <r>
      <rPr>
        <b/>
        <sz val="11"/>
        <color theme="1"/>
        <rFont val="Calibri"/>
        <family val="2"/>
        <scheme val="minor"/>
      </rPr>
      <t>clear increase across all major sectors</t>
    </r>
    <r>
      <rPr>
        <sz val="11"/>
        <color theme="1"/>
        <rFont val="Calibri"/>
        <family val="2"/>
        <scheme val="minor"/>
      </rPr>
      <t>.</t>
    </r>
  </si>
  <si>
    <r>
      <t xml:space="preserve">The </t>
    </r>
    <r>
      <rPr>
        <b/>
        <sz val="11"/>
        <color theme="1"/>
        <rFont val="Calibri"/>
        <family val="2"/>
        <scheme val="minor"/>
      </rPr>
      <t>most impacted</t>
    </r>
    <r>
      <rPr>
        <sz val="11"/>
        <color theme="1"/>
        <rFont val="Calibri"/>
        <family val="2"/>
        <scheme val="minor"/>
      </rPr>
      <t xml:space="preserve"> were </t>
    </r>
    <r>
      <rPr>
        <b/>
        <sz val="11"/>
        <color theme="1"/>
        <rFont val="Calibri"/>
        <family val="2"/>
        <scheme val="minor"/>
      </rPr>
      <t>Essentials and Food</t>
    </r>
    <r>
      <rPr>
        <sz val="11"/>
        <color theme="1"/>
        <rFont val="Calibri"/>
        <family val="2"/>
        <scheme val="minor"/>
      </rPr>
      <t>, as they became harder to access and</t>
    </r>
  </si>
  <si>
    <t>more expensive due to pandemic-related disruptions.</t>
  </si>
  <si>
    <r>
      <t>Healthcare</t>
    </r>
    <r>
      <rPr>
        <sz val="11"/>
        <color theme="1"/>
        <rFont val="Calibri"/>
        <family val="2"/>
        <scheme val="minor"/>
      </rPr>
      <t>, already a costly domain, saw continued inflation due to system overload and rising costs.</t>
    </r>
  </si>
  <si>
    <t>Overall Conclusion</t>
  </si>
  <si>
    <t>Up 1.5%</t>
  </si>
  <si>
    <t xml:space="preserve"> Up 3.65%</t>
  </si>
  <si>
    <t xml:space="preserve"> Up 0.95%</t>
  </si>
  <si>
    <t>6.1% (sharp rise)</t>
  </si>
  <si>
    <t>Pre-COVID Trend:</t>
  </si>
  <si>
    <t>Post-COVID Impact:</t>
  </si>
  <si>
    <r>
      <t>Conclusion:</t>
    </r>
    <r>
      <rPr>
        <sz val="11"/>
        <color theme="1"/>
        <rFont val="Calibri"/>
        <family val="2"/>
        <scheme val="minor"/>
      </rPr>
      <t xml:space="preserve"> COVID-19 reinforced and sustained higher food inflation, increasing pressure on urban consumers.</t>
    </r>
  </si>
  <si>
    <t>7.1% (significant spike)</t>
  </si>
  <si>
    <t>Essentials were relatively stable with moderate inflation (~3%).</t>
  </si>
  <si>
    <r>
      <t>Conclusion:</t>
    </r>
    <r>
      <rPr>
        <sz val="11"/>
        <color theme="1"/>
        <rFont val="Calibri"/>
        <family val="2"/>
        <scheme val="minor"/>
      </rPr>
      <t xml:space="preserve"> Essentials became significantly more expensive, deeply affecting household spending.</t>
    </r>
  </si>
  <si>
    <t>Healthcare inflation was high, but dipped slightly just before COVID-19.</t>
  </si>
  <si>
    <t>It spiked again as the pandemic increased demand for medical services, diagnostics, medications, and private care.</t>
  </si>
  <si>
    <r>
      <t>Conclusion:</t>
    </r>
    <r>
      <rPr>
        <sz val="11"/>
        <color theme="1"/>
        <rFont val="Calibri"/>
        <family val="2"/>
        <scheme val="minor"/>
      </rPr>
      <t xml:space="preserve"> The pandemic intensified healthcare costs, straining public access and affordability.</t>
    </r>
  </si>
  <si>
    <r>
      <t xml:space="preserve">All three categories show inflation </t>
    </r>
    <r>
      <rPr>
        <b/>
        <sz val="11"/>
        <color theme="1"/>
        <rFont val="Calibri"/>
        <family val="2"/>
        <scheme val="minor"/>
      </rPr>
      <t>increased</t>
    </r>
    <r>
      <rPr>
        <sz val="11"/>
        <color theme="1"/>
        <rFont val="Calibri"/>
        <family val="2"/>
        <scheme val="minor"/>
      </rPr>
      <t xml:space="preserve"> after the onset of COVID-19 (March 2020).</t>
    </r>
  </si>
  <si>
    <r>
      <t>Essentials</t>
    </r>
    <r>
      <rPr>
        <sz val="11"/>
        <color theme="1"/>
        <rFont val="Calibri"/>
        <family val="2"/>
        <scheme val="minor"/>
      </rPr>
      <t xml:space="preserve"> saw the </t>
    </r>
    <r>
      <rPr>
        <b/>
        <sz val="11"/>
        <color theme="1"/>
        <rFont val="Calibri"/>
        <family val="2"/>
        <scheme val="minor"/>
      </rPr>
      <t>highest jump</t>
    </r>
    <r>
      <rPr>
        <sz val="11"/>
        <color theme="1"/>
        <rFont val="Calibri"/>
        <family val="2"/>
        <scheme val="minor"/>
      </rPr>
      <t xml:space="preserve">, followed by </t>
    </r>
    <r>
      <rPr>
        <b/>
        <sz val="11"/>
        <color theme="1"/>
        <rFont val="Calibri"/>
        <family val="2"/>
        <scheme val="minor"/>
      </rPr>
      <t>Health</t>
    </r>
    <r>
      <rPr>
        <sz val="11"/>
        <color theme="1"/>
        <rFont val="Calibri"/>
        <family val="2"/>
        <scheme val="minor"/>
      </rPr>
      <t xml:space="preserve"> and </t>
    </r>
    <r>
      <rPr>
        <b/>
        <sz val="11"/>
        <color theme="1"/>
        <rFont val="Calibri"/>
        <family val="2"/>
        <scheme val="minor"/>
      </rPr>
      <t>Food</t>
    </r>
    <r>
      <rPr>
        <sz val="11"/>
        <color theme="1"/>
        <rFont val="Calibri"/>
        <family val="2"/>
        <scheme val="minor"/>
      </rPr>
      <t>.</t>
    </r>
  </si>
  <si>
    <r>
      <t xml:space="preserve">This had a direct impact on the urban population's </t>
    </r>
    <r>
      <rPr>
        <b/>
        <sz val="11"/>
        <color theme="1"/>
        <rFont val="Calibri"/>
        <family val="2"/>
        <scheme val="minor"/>
      </rPr>
      <t>cost of living</t>
    </r>
    <r>
      <rPr>
        <sz val="11"/>
        <color theme="1"/>
        <rFont val="Calibri"/>
        <family val="2"/>
        <scheme val="minor"/>
      </rPr>
      <t>, especially for middle and lower-income groups.</t>
    </r>
  </si>
  <si>
    <t xml:space="preserve">Inflation nearly doubled post-lockdown, driven by rising demand for daily-use and hygiene products, </t>
  </si>
  <si>
    <t>increased delivery/transportation costs, and reduced access during restrictions.</t>
  </si>
  <si>
    <t>Inflation remained high post-COVID, indicating disruptions in the supply chain</t>
  </si>
  <si>
    <t>, panic buying, and rising logistics costs during lockdown periods.</t>
  </si>
  <si>
    <t xml:space="preserve">Food inflation rose sharply from 2.8% (2018–19) to 6.1% (2019–20), possibly due to pre-existing supply shocks </t>
  </si>
  <si>
    <t>and economic uncertainties. possibly due to pre-existing supply shocks and economic uncertainties.</t>
  </si>
  <si>
    <t xml:space="preserve">The pandemic intensified inflation by disrupting supply chains, overloading healthcare systems, </t>
  </si>
  <si>
    <t>and altering consumption behavior.</t>
  </si>
  <si>
    <t>1. Food Sector</t>
  </si>
  <si>
    <t>2. Essentials Sector</t>
  </si>
  <si>
    <t xml:space="preserve"> Overall Impact Summary</t>
  </si>
  <si>
    <t>Food Sector</t>
  </si>
  <si>
    <t>0.3% (very low)</t>
  </si>
  <si>
    <t>6.6% (sharp rise)</t>
  </si>
  <si>
    <t>4.1% (still elevated)</t>
  </si>
  <si>
    <t>5.8% (remains high)</t>
  </si>
  <si>
    <t>Analysis:</t>
  </si>
  <si>
    <t>Pre-COVID (2018–2020):</t>
  </si>
  <si>
    <t>Post-COVID (2020–2022):</t>
  </si>
  <si>
    <t>Conclusion:</t>
  </si>
  <si>
    <t>7.8% (significant spike)</t>
  </si>
  <si>
    <r>
      <t xml:space="preserve">Inflation in essentials remained </t>
    </r>
    <r>
      <rPr>
        <b/>
        <sz val="11"/>
        <color theme="1"/>
        <rFont val="Calibri"/>
        <family val="2"/>
        <scheme val="minor"/>
      </rPr>
      <t>low and stable</t>
    </r>
    <r>
      <rPr>
        <sz val="11"/>
        <color theme="1"/>
        <rFont val="Calibri"/>
        <family val="2"/>
        <scheme val="minor"/>
      </rPr>
      <t>, below 3%.</t>
    </r>
  </si>
  <si>
    <t>3. Healthcare Sector</t>
  </si>
  <si>
    <t>8.1% (already high)</t>
  </si>
  <si>
    <t>Pre-COVID:</t>
  </si>
  <si>
    <r>
      <t xml:space="preserve">Healthcare was </t>
    </r>
    <r>
      <rPr>
        <b/>
        <sz val="11"/>
        <color theme="1"/>
        <rFont val="Calibri"/>
        <family val="2"/>
        <scheme val="minor"/>
      </rPr>
      <t>already a high-inflation sector</t>
    </r>
    <r>
      <rPr>
        <sz val="11"/>
        <color theme="1"/>
        <rFont val="Calibri"/>
        <family val="2"/>
        <scheme val="minor"/>
      </rPr>
      <t xml:space="preserve"> (8.1%), though it dipped slightly in 2019–2020.</t>
    </r>
  </si>
  <si>
    <t>Post-COVID:</t>
  </si>
  <si>
    <r>
      <t xml:space="preserve">Inflation rebounded to </t>
    </r>
    <r>
      <rPr>
        <b/>
        <sz val="11"/>
        <color theme="1"/>
        <rFont val="Calibri"/>
        <family val="2"/>
        <scheme val="minor"/>
      </rPr>
      <t>7.3% and 6.6%</t>
    </r>
    <r>
      <rPr>
        <sz val="11"/>
        <color theme="1"/>
        <rFont val="Calibri"/>
        <family val="2"/>
        <scheme val="minor"/>
      </rPr>
      <t>, driven by:</t>
    </r>
  </si>
  <si>
    <t>Final Conclusion</t>
  </si>
  <si>
    <r>
      <t>Healthcare</t>
    </r>
    <r>
      <rPr>
        <sz val="11"/>
        <color theme="1"/>
        <rFont val="Calibri"/>
        <family val="2"/>
        <scheme val="minor"/>
      </rPr>
      <t xml:space="preserve"> remained an </t>
    </r>
    <r>
      <rPr>
        <b/>
        <sz val="11"/>
        <color theme="1"/>
        <rFont val="Calibri"/>
        <family val="2"/>
        <scheme val="minor"/>
      </rPr>
      <t>expensive domain</t>
    </r>
    <r>
      <rPr>
        <sz val="11"/>
        <color theme="1"/>
        <rFont val="Calibri"/>
        <family val="2"/>
        <scheme val="minor"/>
      </rPr>
      <t xml:space="preserve">, with inflation staying high as </t>
    </r>
    <r>
      <rPr>
        <b/>
        <sz val="11"/>
        <color theme="1"/>
        <rFont val="Calibri"/>
        <family val="2"/>
        <scheme val="minor"/>
      </rPr>
      <t>pandemic-induced demand soared</t>
    </r>
    <r>
      <rPr>
        <sz val="11"/>
        <color theme="1"/>
        <rFont val="Calibri"/>
        <family val="2"/>
        <scheme val="minor"/>
      </rPr>
      <t>.</t>
    </r>
  </si>
  <si>
    <r>
      <t xml:space="preserve">Overall, </t>
    </r>
    <r>
      <rPr>
        <b/>
        <sz val="11"/>
        <color theme="1"/>
        <rFont val="Calibri"/>
        <family val="2"/>
        <scheme val="minor"/>
      </rPr>
      <t>post-March 2020 CPI inflation rose across all major categories</t>
    </r>
    <r>
      <rPr>
        <sz val="11"/>
        <color theme="1"/>
        <rFont val="Calibri"/>
        <family val="2"/>
        <scheme val="minor"/>
      </rPr>
      <t xml:space="preserve">, affecting </t>
    </r>
    <r>
      <rPr>
        <b/>
        <sz val="11"/>
        <color theme="1"/>
        <rFont val="Calibri"/>
        <family val="2"/>
        <scheme val="minor"/>
      </rPr>
      <t>urban consumers</t>
    </r>
    <r>
      <rPr>
        <sz val="11"/>
        <color theme="1"/>
        <rFont val="Calibri"/>
        <family val="2"/>
        <scheme val="minor"/>
      </rPr>
      <t xml:space="preserve"> more acutely.</t>
    </r>
  </si>
  <si>
    <r>
      <t xml:space="preserve">Food inflation was extremely low in 2018–2019 (0.3%), followed by a </t>
    </r>
    <r>
      <rPr>
        <b/>
        <sz val="11"/>
        <color theme="1"/>
        <rFont val="Calibri"/>
        <family val="2"/>
        <scheme val="minor"/>
      </rPr>
      <t>sharp spike to 6.6%</t>
    </r>
    <r>
      <rPr>
        <sz val="11"/>
        <color theme="1"/>
        <rFont val="Calibri"/>
        <family val="2"/>
        <scheme val="minor"/>
      </rPr>
      <t xml:space="preserve"> in 2019–2020. .</t>
    </r>
  </si>
  <si>
    <t>This surge likely stemmed from supply-side constraints, crop failures, or economic slowdown</t>
  </si>
  <si>
    <r>
      <t xml:space="preserve">Inflation remained </t>
    </r>
    <r>
      <rPr>
        <b/>
        <sz val="11"/>
        <color theme="1"/>
        <rFont val="Calibri"/>
        <family val="2"/>
        <scheme val="minor"/>
      </rPr>
      <t>consistently high</t>
    </r>
    <r>
      <rPr>
        <sz val="11"/>
        <color theme="1"/>
        <rFont val="Calibri"/>
        <family val="2"/>
        <scheme val="minor"/>
      </rPr>
      <t xml:space="preserve"> at 4.1% and 5.8%. This</t>
    </r>
  </si>
  <si>
    <r>
      <t xml:space="preserve">COVID-19 </t>
    </r>
    <r>
      <rPr>
        <b/>
        <sz val="11"/>
        <color theme="1"/>
        <rFont val="Calibri"/>
        <family val="2"/>
        <scheme val="minor"/>
      </rPr>
      <t>amplified food inflation pressures</t>
    </r>
    <r>
      <rPr>
        <sz val="11"/>
        <color theme="1"/>
        <rFont val="Calibri"/>
        <family val="2"/>
        <scheme val="minor"/>
      </rPr>
      <t xml:space="preserve">, making essential food items more costly and </t>
    </r>
  </si>
  <si>
    <t>affecting household nutrition affordability.</t>
  </si>
  <si>
    <r>
      <t xml:space="preserve">A significant rise occurred: </t>
    </r>
    <r>
      <rPr>
        <b/>
        <sz val="11"/>
        <color theme="1"/>
        <rFont val="Calibri"/>
        <family val="2"/>
        <scheme val="minor"/>
      </rPr>
      <t>4.9% → 7.8%</t>
    </r>
  </si>
  <si>
    <r>
      <t xml:space="preserve">The essentials category saw the </t>
    </r>
    <r>
      <rPr>
        <b/>
        <sz val="11"/>
        <color theme="1"/>
        <rFont val="Calibri"/>
        <family val="2"/>
        <scheme val="minor"/>
      </rPr>
      <t>steepest rise in inflation post-COVID</t>
    </r>
    <r>
      <rPr>
        <sz val="11"/>
        <color theme="1"/>
        <rFont val="Calibri"/>
        <family val="2"/>
        <scheme val="minor"/>
      </rPr>
      <t xml:space="preserve">, </t>
    </r>
  </si>
  <si>
    <t>highlighting stress on household spending and supply disruptions.</t>
  </si>
  <si>
    <r>
      <t xml:space="preserve">COVID-19 </t>
    </r>
    <r>
      <rPr>
        <b/>
        <sz val="11"/>
        <color theme="1"/>
        <rFont val="Calibri"/>
        <family val="2"/>
        <scheme val="minor"/>
      </rPr>
      <t>intensified pressure</t>
    </r>
    <r>
      <rPr>
        <sz val="11"/>
        <color theme="1"/>
        <rFont val="Calibri"/>
        <family val="2"/>
        <scheme val="minor"/>
      </rPr>
      <t xml:space="preserve"> on the healthcare system, leading to </t>
    </r>
    <r>
      <rPr>
        <b/>
        <sz val="11"/>
        <color theme="1"/>
        <rFont val="Calibri"/>
        <family val="2"/>
        <scheme val="minor"/>
      </rPr>
      <t>sustained high inflation</t>
    </r>
  </si>
  <si>
    <t>, especially in urban areas with limited public infrastructure.</t>
  </si>
  <si>
    <r>
      <t>Food and Essentials</t>
    </r>
    <r>
      <rPr>
        <sz val="11"/>
        <color theme="1"/>
        <rFont val="Calibri"/>
        <family val="2"/>
        <scheme val="minor"/>
      </rPr>
      <t xml:space="preserve"> faced </t>
    </r>
    <r>
      <rPr>
        <b/>
        <sz val="11"/>
        <color theme="1"/>
        <rFont val="Calibri"/>
        <family val="2"/>
        <scheme val="minor"/>
      </rPr>
      <t>significant inflationary pressure</t>
    </r>
    <r>
      <rPr>
        <sz val="11"/>
        <color theme="1"/>
        <rFont val="Calibri"/>
        <family val="2"/>
        <scheme val="minor"/>
      </rPr>
      <t xml:space="preserve"> post-COVID due to</t>
    </r>
  </si>
  <si>
    <t xml:space="preserve"> access issues, supply chain breakdowns, and surging demand.</t>
  </si>
  <si>
    <t>Question 1</t>
  </si>
  <si>
    <t>(total ofborader  category /total of sector)</t>
  </si>
  <si>
    <t>final Conclusion</t>
  </si>
  <si>
    <t>Overall  Summary</t>
  </si>
  <si>
    <t>Petroleum Planning &amp; Analysis Cell</t>
  </si>
  <si>
    <t>Crude Oil FOB Price (Indian Basket)</t>
  </si>
  <si>
    <t>Table Posted: (01-04-2025)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</si>
  <si>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</si>
  <si>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</si>
  <si>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</si>
  <si>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</si>
  <si>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</si>
  <si>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</si>
  <si>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</si>
  <si>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</si>
  <si>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</si>
  <si>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</si>
  <si>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</si>
  <si>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</si>
  <si>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</si>
  <si>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</si>
  <si>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</si>
  <si>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</si>
  <si>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</si>
  <si>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</si>
  <si>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</si>
  <si>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</si>
  <si>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</si>
  <si>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</si>
  <si>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</si>
  <si>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</si>
  <si>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</si>
  <si>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</si>
  <si>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</si>
  <si>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</si>
  <si>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</si>
  <si>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</si>
  <si>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</si>
  <si>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</si>
  <si>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</si>
  <si>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</si>
  <si>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</si>
  <si>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</si>
  <si>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74.77:25.23</t>
  </si>
  <si>
    <t>2019-20</t>
  </si>
  <si>
    <t>75.50:24.50</t>
  </si>
  <si>
    <t>2020-21</t>
  </si>
  <si>
    <t>75.62:24.38</t>
  </si>
  <si>
    <t>2021-22</t>
  </si>
  <si>
    <t>2022-23</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</si>
  <si>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</si>
  <si>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</si>
  <si>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</si>
  <si>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</si>
  <si>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</si>
  <si>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</si>
  <si>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 xml:space="preserve">Correlation </t>
  </si>
  <si>
    <t>Question 5</t>
  </si>
  <si>
    <t>copied the data from the data sheet from dec 2020 to may 2023</t>
  </si>
  <si>
    <t>Column A: Month</t>
  </si>
  <si>
    <t>Column B: CPI Values (e.g., Dec 2020 to Jan 2023)</t>
  </si>
  <si>
    <t>Column C: Oil Prices for the same months</t>
  </si>
  <si>
    <t xml:space="preserve"> Oil Price</t>
  </si>
  <si>
    <t>Crude Oil FOB Price 2020-23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</si>
</sst>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m"/>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theme="5" tint="-0.249977111117893"/>
      <name val="Calibri"/>
      <family val="2"/>
      <scheme val="minor"/>
    </font>
    <font>
      <sz val="11"/>
      <color theme="7" tint="-0.249977111117893"/>
      <name val="Calibri"/>
      <family val="2"/>
      <scheme val="minor"/>
    </font>
    <font>
      <sz val="11"/>
      <color theme="9" tint="-0.249977111117893"/>
      <name val="Calibri"/>
      <family val="2"/>
      <scheme val="minor"/>
    </font>
    <font>
      <b/>
      <sz val="12"/>
      <color theme="1"/>
      <name val="Calibri"/>
      <family val="2"/>
      <scheme val="minor"/>
    </font>
    <font>
      <b/>
      <sz val="13.5"/>
      <color theme="1"/>
      <name val="Calibri"/>
      <family val="2"/>
      <scheme val="minor"/>
    </font>
    <font>
      <sz val="12"/>
      <color theme="1"/>
      <name val="Calibri"/>
      <family val="2"/>
      <scheme val="minor"/>
    </font>
    <font>
      <b/>
      <sz val="14"/>
      <color theme="1"/>
      <name val="Calibri"/>
      <family val="2"/>
      <scheme val="minor"/>
    </font>
    <font>
      <sz val="16"/>
      <color theme="1"/>
      <name val="Calibri"/>
      <family val="2"/>
      <scheme val="minor"/>
    </font>
    <font>
      <sz val="14"/>
      <color theme="1"/>
      <name val="Calibri"/>
      <family val="2"/>
      <scheme val="minor"/>
    </font>
    <font>
      <b/>
      <sz val="16"/>
      <color theme="1"/>
      <name val="Calibri"/>
      <family val="2"/>
      <scheme val="minor"/>
    </font>
    <font>
      <sz val="11"/>
      <color theme="2"/>
      <name val="Calibri"/>
      <family val="2"/>
      <scheme val="minor"/>
    </font>
    <font>
      <b/>
      <sz val="11"/>
      <color theme="1" tint="4.9989318521683403E-2"/>
      <name val="Calibri"/>
      <family val="2"/>
      <scheme val="minor"/>
    </font>
    <font>
      <b/>
      <sz val="18"/>
      <color theme="1"/>
      <name val="Calibri"/>
      <family val="2"/>
      <scheme val="minor"/>
    </font>
    <font>
      <b/>
      <sz val="10"/>
      <color theme="1"/>
      <name val="Calibri"/>
      <family val="2"/>
      <scheme val="minor"/>
    </font>
    <font>
      <b/>
      <sz val="20"/>
      <color theme="1"/>
      <name val="Calibri"/>
      <family val="2"/>
      <scheme val="minor"/>
    </font>
    <font>
      <b/>
      <sz val="24"/>
      <color theme="1"/>
      <name val="Calibri"/>
      <family val="2"/>
      <scheme val="minor"/>
    </font>
    <font>
      <b/>
      <sz val="26"/>
      <color theme="1"/>
      <name val="Calibri"/>
      <family val="2"/>
      <scheme val="minor"/>
    </font>
    <font>
      <i/>
      <sz val="11"/>
      <color theme="1"/>
      <name val="Calibri"/>
      <family val="2"/>
      <scheme val="minor"/>
    </font>
    <font>
      <sz val="10"/>
      <name val="Arial"/>
      <family val="2"/>
    </font>
    <font>
      <b/>
      <sz val="12"/>
      <name val="Times New Roman"/>
      <family val="1"/>
    </font>
    <font>
      <sz val="12"/>
      <color theme="1"/>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s>
  <fills count="25">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CCC"/>
        <bgColor indexed="64"/>
      </patternFill>
    </fill>
    <fill>
      <patternFill patternType="solid">
        <fgColor rgb="FFFFFF99"/>
        <bgColor indexed="64"/>
      </patternFill>
    </fill>
    <fill>
      <patternFill patternType="solid">
        <fgColor rgb="FFCCECFF"/>
        <bgColor indexed="64"/>
      </patternFill>
    </fill>
    <fill>
      <patternFill patternType="solid">
        <fgColor rgb="FF99FFCC"/>
        <bgColor indexed="64"/>
      </patternFill>
    </fill>
    <fill>
      <patternFill patternType="solid">
        <fgColor theme="5"/>
        <bgColor indexed="64"/>
      </patternFill>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22" fillId="0" borderId="0"/>
  </cellStyleXfs>
  <cellXfs count="169">
    <xf numFmtId="0" fontId="0" fillId="0" borderId="0" xfId="0"/>
    <xf numFmtId="0" fontId="2" fillId="0" borderId="0" xfId="0" applyFont="1"/>
    <xf numFmtId="0" fontId="0" fillId="3" borderId="0" xfId="0" applyFill="1"/>
    <xf numFmtId="0" fontId="0" fillId="4" borderId="0" xfId="0" applyFill="1"/>
    <xf numFmtId="0" fontId="0" fillId="0" borderId="0" xfId="0" applyAlignment="1">
      <alignment horizontal="center"/>
    </xf>
    <xf numFmtId="0" fontId="2" fillId="5" borderId="0" xfId="0" applyFont="1" applyFill="1"/>
    <xf numFmtId="0" fontId="2" fillId="2" borderId="0" xfId="0" applyFont="1" applyFill="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1" xfId="0" applyBorder="1"/>
    <xf numFmtId="0" fontId="4" fillId="0" borderId="1" xfId="0" applyFont="1" applyBorder="1"/>
    <xf numFmtId="0" fontId="0" fillId="7" borderId="1" xfId="0" applyFill="1" applyBorder="1"/>
    <xf numFmtId="0" fontId="0" fillId="0" borderId="1" xfId="0" applyBorder="1" applyAlignment="1">
      <alignment vertical="center" wrapText="1"/>
    </xf>
    <xf numFmtId="9" fontId="0" fillId="0" borderId="0" xfId="1" applyFont="1"/>
    <xf numFmtId="9" fontId="0" fillId="0" borderId="0" xfId="0" applyNumberFormat="1"/>
    <xf numFmtId="9" fontId="0" fillId="0" borderId="1" xfId="1" applyFont="1" applyBorder="1"/>
    <xf numFmtId="9" fontId="0" fillId="0" borderId="1" xfId="1" applyFont="1" applyBorder="1" applyAlignment="1">
      <alignment horizontal="center"/>
    </xf>
    <xf numFmtId="0" fontId="0" fillId="0" borderId="1" xfId="0" applyBorder="1" applyAlignment="1">
      <alignment horizontal="center"/>
    </xf>
    <xf numFmtId="0" fontId="2" fillId="8" borderId="1" xfId="0" applyFont="1" applyFill="1" applyBorder="1"/>
    <xf numFmtId="9" fontId="2" fillId="8" borderId="1" xfId="1" applyFont="1" applyFill="1" applyBorder="1"/>
    <xf numFmtId="0" fontId="5" fillId="0" borderId="0" xfId="0" applyFont="1" applyAlignment="1">
      <alignment horizontal="center"/>
    </xf>
    <xf numFmtId="0" fontId="5" fillId="0" borderId="0" xfId="0" applyFont="1"/>
    <xf numFmtId="0" fontId="2" fillId="0" borderId="0" xfId="0" applyFont="1" applyAlignment="1">
      <alignment horizontal="left" vertical="center" indent="1"/>
    </xf>
    <xf numFmtId="0" fontId="0" fillId="0" borderId="0" xfId="0" applyAlignment="1">
      <alignment horizontal="left" vertical="center" indent="1"/>
    </xf>
    <xf numFmtId="0" fontId="8" fillId="0" borderId="0" xfId="0" applyFont="1" applyAlignment="1">
      <alignment vertical="center"/>
    </xf>
    <xf numFmtId="0" fontId="2" fillId="7" borderId="1" xfId="0" applyFont="1" applyFill="1" applyBorder="1"/>
    <xf numFmtId="0" fontId="2" fillId="6" borderId="1" xfId="0" applyFont="1" applyFill="1" applyBorder="1"/>
    <xf numFmtId="164" fontId="0" fillId="0" borderId="0" xfId="1" applyNumberFormat="1" applyFont="1"/>
    <xf numFmtId="0" fontId="2" fillId="10" borderId="1" xfId="0" applyFont="1" applyFill="1" applyBorder="1"/>
    <xf numFmtId="164" fontId="0" fillId="0" borderId="1" xfId="1" applyNumberFormat="1" applyFont="1" applyBorder="1"/>
    <xf numFmtId="0" fontId="0" fillId="11" borderId="1" xfId="0" applyFill="1" applyBorder="1"/>
    <xf numFmtId="164" fontId="0" fillId="11" borderId="1" xfId="1" applyNumberFormat="1" applyFont="1" applyFill="1" applyBorder="1"/>
    <xf numFmtId="0" fontId="13" fillId="0" borderId="0" xfId="0" applyFont="1"/>
    <xf numFmtId="0" fontId="12" fillId="0" borderId="0" xfId="0" applyFont="1"/>
    <xf numFmtId="0" fontId="2" fillId="12" borderId="0" xfId="0" applyFont="1" applyFill="1"/>
    <xf numFmtId="0" fontId="0" fillId="4" borderId="1" xfId="0" applyFill="1" applyBorder="1"/>
    <xf numFmtId="0" fontId="0" fillId="13" borderId="1" xfId="0" applyFill="1" applyBorder="1"/>
    <xf numFmtId="0" fontId="2" fillId="5" borderId="1" xfId="0" applyFont="1" applyFill="1" applyBorder="1"/>
    <xf numFmtId="17" fontId="2" fillId="13" borderId="1" xfId="0" applyNumberFormat="1" applyFont="1" applyFill="1" applyBorder="1"/>
    <xf numFmtId="0" fontId="2" fillId="13" borderId="1" xfId="0" applyFont="1" applyFill="1" applyBorder="1"/>
    <xf numFmtId="164" fontId="0" fillId="12" borderId="1" xfId="1" applyNumberFormat="1" applyFont="1" applyFill="1" applyBorder="1"/>
    <xf numFmtId="0" fontId="2" fillId="0" borderId="1" xfId="0" applyFont="1" applyBorder="1"/>
    <xf numFmtId="0" fontId="16" fillId="0" borderId="0" xfId="0" applyFont="1"/>
    <xf numFmtId="0" fontId="0" fillId="13" borderId="1" xfId="0" applyFill="1" applyBorder="1" applyAlignment="1">
      <alignment vertical="center" wrapText="1"/>
    </xf>
    <xf numFmtId="0" fontId="4" fillId="13" borderId="1" xfId="0" applyFont="1" applyFill="1" applyBorder="1"/>
    <xf numFmtId="0" fontId="2" fillId="15" borderId="0" xfId="0" applyFont="1" applyFill="1"/>
    <xf numFmtId="0" fontId="2" fillId="16" borderId="1" xfId="0" applyFont="1" applyFill="1" applyBorder="1"/>
    <xf numFmtId="0" fontId="0" fillId="16" borderId="1" xfId="0" applyFill="1" applyBorder="1"/>
    <xf numFmtId="0" fontId="2" fillId="4" borderId="1" xfId="0" applyFont="1" applyFill="1" applyBorder="1"/>
    <xf numFmtId="0" fontId="2" fillId="15" borderId="1" xfId="0" applyFont="1" applyFill="1" applyBorder="1"/>
    <xf numFmtId="0" fontId="0" fillId="15" borderId="1" xfId="0" applyFill="1" applyBorder="1"/>
    <xf numFmtId="0" fontId="0" fillId="4" borderId="1" xfId="0" applyFill="1" applyBorder="1" applyAlignment="1">
      <alignment vertical="center" wrapText="1"/>
    </xf>
    <xf numFmtId="0" fontId="4" fillId="4" borderId="1" xfId="0" applyFont="1" applyFill="1" applyBorder="1"/>
    <xf numFmtId="0" fontId="0" fillId="15" borderId="1" xfId="0" applyFill="1" applyBorder="1" applyAlignment="1">
      <alignment vertical="center" wrapText="1"/>
    </xf>
    <xf numFmtId="0" fontId="4" fillId="15" borderId="1" xfId="0" applyFont="1" applyFill="1" applyBorder="1"/>
    <xf numFmtId="0" fontId="0" fillId="17" borderId="1" xfId="0" applyFill="1" applyBorder="1"/>
    <xf numFmtId="0" fontId="0" fillId="18" borderId="1" xfId="0" applyFill="1" applyBorder="1"/>
    <xf numFmtId="0" fontId="2" fillId="19" borderId="1" xfId="0" applyFont="1" applyFill="1" applyBorder="1"/>
    <xf numFmtId="0" fontId="2" fillId="17" borderId="1" xfId="0" applyFont="1" applyFill="1" applyBorder="1"/>
    <xf numFmtId="0" fontId="2" fillId="18" borderId="1" xfId="0" applyFont="1" applyFill="1" applyBorder="1"/>
    <xf numFmtId="0" fontId="0" fillId="16" borderId="4" xfId="0" applyFill="1" applyBorder="1"/>
    <xf numFmtId="164" fontId="0" fillId="0" borderId="1" xfId="1" applyNumberFormat="1" applyFont="1" applyFill="1" applyBorder="1"/>
    <xf numFmtId="164" fontId="0" fillId="0" borderId="0" xfId="1" applyNumberFormat="1" applyFont="1" applyFill="1" applyBorder="1"/>
    <xf numFmtId="9" fontId="0" fillId="0" borderId="0" xfId="1" applyFont="1" applyFill="1" applyBorder="1"/>
    <xf numFmtId="0" fontId="0" fillId="11" borderId="2" xfId="0" applyFill="1" applyBorder="1"/>
    <xf numFmtId="0" fontId="0" fillId="16" borderId="2" xfId="0" applyFill="1" applyBorder="1"/>
    <xf numFmtId="0" fontId="0" fillId="17" borderId="2" xfId="0" applyFill="1" applyBorder="1"/>
    <xf numFmtId="0" fontId="0" fillId="18" borderId="2" xfId="0" applyFill="1" applyBorder="1"/>
    <xf numFmtId="0" fontId="0" fillId="11" borderId="4" xfId="0" applyFill="1" applyBorder="1"/>
    <xf numFmtId="0" fontId="0" fillId="17" borderId="4" xfId="0" applyFill="1" applyBorder="1"/>
    <xf numFmtId="0" fontId="0" fillId="18" borderId="4" xfId="0" applyFill="1" applyBorder="1"/>
    <xf numFmtId="164" fontId="2" fillId="0" borderId="0" xfId="1" applyNumberFormat="1" applyFont="1" applyFill="1" applyBorder="1"/>
    <xf numFmtId="9" fontId="2" fillId="0" borderId="0" xfId="1" applyFont="1" applyFill="1" applyBorder="1"/>
    <xf numFmtId="164" fontId="0" fillId="0" borderId="0" xfId="1" applyNumberFormat="1" applyFont="1" applyFill="1"/>
    <xf numFmtId="0" fontId="2" fillId="11" borderId="1" xfId="0" applyFont="1" applyFill="1" applyBorder="1"/>
    <xf numFmtId="164" fontId="2" fillId="4" borderId="1" xfId="1" applyNumberFormat="1" applyFont="1" applyFill="1" applyBorder="1"/>
    <xf numFmtId="164" fontId="2" fillId="0" borderId="1" xfId="1" applyNumberFormat="1" applyFont="1" applyFill="1" applyBorder="1"/>
    <xf numFmtId="164" fontId="0" fillId="0" borderId="0" xfId="1" applyNumberFormat="1" applyFont="1" applyBorder="1"/>
    <xf numFmtId="0" fontId="0" fillId="0" borderId="1" xfId="0" applyBorder="1" applyAlignment="1">
      <alignment horizontal="center" vertical="center"/>
    </xf>
    <xf numFmtId="0" fontId="7" fillId="0" borderId="0" xfId="0" applyFont="1" applyAlignment="1">
      <alignment vertical="center"/>
    </xf>
    <xf numFmtId="0" fontId="0" fillId="0" borderId="0" xfId="0" applyAlignment="1">
      <alignment horizontal="left" vertical="center" indent="2"/>
    </xf>
    <xf numFmtId="0" fontId="2" fillId="0" borderId="0" xfId="0" applyFont="1" applyAlignment="1">
      <alignment horizontal="left" vertical="center" indent="2"/>
    </xf>
    <xf numFmtId="0" fontId="0" fillId="20" borderId="0" xfId="0" applyFill="1"/>
    <xf numFmtId="0" fontId="2" fillId="20" borderId="0" xfId="0" applyFont="1" applyFill="1"/>
    <xf numFmtId="0" fontId="11" fillId="11" borderId="1" xfId="0" applyFont="1" applyFill="1" applyBorder="1"/>
    <xf numFmtId="0" fontId="0" fillId="3" borderId="1" xfId="0" applyFill="1" applyBorder="1"/>
    <xf numFmtId="164" fontId="0" fillId="3" borderId="1" xfId="1" applyNumberFormat="1" applyFont="1" applyFill="1" applyBorder="1"/>
    <xf numFmtId="0" fontId="9" fillId="0" borderId="1" xfId="0" applyFont="1" applyBorder="1"/>
    <xf numFmtId="0" fontId="12" fillId="0" borderId="0" xfId="0" applyFont="1" applyAlignment="1">
      <alignment horizontal="center"/>
    </xf>
    <xf numFmtId="0" fontId="2" fillId="12" borderId="1" xfId="0" applyFont="1" applyFill="1" applyBorder="1"/>
    <xf numFmtId="0" fontId="18" fillId="0" borderId="0" xfId="0" applyFont="1" applyAlignment="1">
      <alignment horizontal="center"/>
    </xf>
    <xf numFmtId="0" fontId="0" fillId="0" borderId="1" xfId="1" applyNumberFormat="1" applyFont="1" applyBorder="1"/>
    <xf numFmtId="0" fontId="0" fillId="12" borderId="1" xfId="1" applyNumberFormat="1" applyFont="1" applyFill="1" applyBorder="1"/>
    <xf numFmtId="164" fontId="0" fillId="15" borderId="1" xfId="1" applyNumberFormat="1" applyFont="1" applyFill="1" applyBorder="1"/>
    <xf numFmtId="164" fontId="0" fillId="14" borderId="1" xfId="1" applyNumberFormat="1" applyFont="1" applyFill="1" applyBorder="1"/>
    <xf numFmtId="10" fontId="0" fillId="0" borderId="0" xfId="0" applyNumberFormat="1" applyAlignment="1">
      <alignment vertical="center" wrapText="1"/>
    </xf>
    <xf numFmtId="9" fontId="0" fillId="0" borderId="0" xfId="1" applyFont="1" applyFill="1"/>
    <xf numFmtId="0" fontId="2" fillId="0" borderId="1" xfId="0" applyFont="1" applyBorder="1" applyAlignment="1">
      <alignment horizontal="center" vertical="center" wrapText="1"/>
    </xf>
    <xf numFmtId="0" fontId="2" fillId="0" borderId="1" xfId="0" applyFont="1" applyBorder="1" applyAlignment="1">
      <alignment vertical="center" wrapText="1"/>
    </xf>
    <xf numFmtId="10" fontId="0" fillId="0" borderId="1" xfId="0" applyNumberFormat="1" applyBorder="1" applyAlignment="1">
      <alignment vertical="center" wrapText="1"/>
    </xf>
    <xf numFmtId="164" fontId="0" fillId="14" borderId="2" xfId="1" applyNumberFormat="1" applyFont="1" applyFill="1" applyBorder="1"/>
    <xf numFmtId="164" fontId="0" fillId="0" borderId="2" xfId="1" applyNumberFormat="1" applyFont="1" applyFill="1" applyBorder="1"/>
    <xf numFmtId="0" fontId="23" fillId="0" borderId="0" xfId="2" applyFont="1"/>
    <xf numFmtId="0" fontId="24" fillId="0" borderId="0" xfId="0" applyFont="1"/>
    <xf numFmtId="0" fontId="23" fillId="0" borderId="3" xfId="2" applyFont="1" applyBorder="1" applyAlignment="1">
      <alignment vertical="center"/>
    </xf>
    <xf numFmtId="0" fontId="23" fillId="0" borderId="0" xfId="2" applyFont="1" applyAlignment="1">
      <alignment vertical="center"/>
    </xf>
    <xf numFmtId="0" fontId="23" fillId="0" borderId="0" xfId="2" applyFont="1" applyAlignment="1">
      <alignment horizontal="right"/>
    </xf>
    <xf numFmtId="165" fontId="23" fillId="22" borderId="1" xfId="2" applyNumberFormat="1" applyFont="1" applyFill="1" applyBorder="1" applyAlignment="1">
      <alignment horizontal="left" vertical="center"/>
    </xf>
    <xf numFmtId="165" fontId="23" fillId="22" borderId="1" xfId="2" applyNumberFormat="1" applyFont="1" applyFill="1" applyBorder="1" applyAlignment="1">
      <alignment horizontal="right" vertical="center"/>
    </xf>
    <xf numFmtId="165" fontId="23" fillId="0" borderId="1" xfId="2" quotePrefix="1" applyNumberFormat="1" applyFont="1" applyBorder="1" applyAlignment="1">
      <alignment horizontal="left" vertical="center"/>
    </xf>
    <xf numFmtId="4" fontId="24" fillId="0" borderId="1" xfId="0" applyNumberFormat="1" applyFont="1" applyBorder="1" applyAlignment="1">
      <alignment horizontal="right" vertical="center"/>
    </xf>
    <xf numFmtId="4" fontId="27" fillId="0" borderId="1" xfId="0" applyNumberFormat="1" applyFont="1" applyBorder="1" applyAlignment="1">
      <alignment horizontal="right" vertical="center"/>
    </xf>
    <xf numFmtId="49" fontId="27" fillId="0" borderId="1" xfId="0" applyNumberFormat="1" applyFont="1" applyBorder="1" applyAlignment="1">
      <alignment horizontal="right" vertical="center"/>
    </xf>
    <xf numFmtId="0" fontId="24" fillId="0" borderId="0" xfId="0" applyFont="1" applyAlignment="1">
      <alignment vertical="center"/>
    </xf>
    <xf numFmtId="165" fontId="23" fillId="0" borderId="1" xfId="2" applyNumberFormat="1" applyFont="1" applyBorder="1" applyAlignment="1">
      <alignment horizontal="left" vertical="center"/>
    </xf>
    <xf numFmtId="4" fontId="24" fillId="0" borderId="0" xfId="0" applyNumberFormat="1" applyFont="1" applyAlignment="1">
      <alignment vertical="center"/>
    </xf>
    <xf numFmtId="0" fontId="23" fillId="0" borderId="0" xfId="0" applyFont="1" applyAlignment="1">
      <alignment wrapText="1"/>
    </xf>
    <xf numFmtId="0" fontId="28" fillId="0" borderId="0" xfId="0" applyFont="1"/>
    <xf numFmtId="0" fontId="29" fillId="0" borderId="0" xfId="0" applyFont="1"/>
    <xf numFmtId="0" fontId="24" fillId="0" borderId="0" xfId="0" applyFont="1" applyAlignment="1">
      <alignment horizontal="left"/>
    </xf>
    <xf numFmtId="164" fontId="0" fillId="19" borderId="1" xfId="1" applyNumberFormat="1" applyFont="1" applyFill="1" applyBorder="1"/>
    <xf numFmtId="4" fontId="24" fillId="21" borderId="1" xfId="0" applyNumberFormat="1" applyFont="1" applyFill="1" applyBorder="1" applyAlignment="1">
      <alignment horizontal="right" vertical="center"/>
    </xf>
    <xf numFmtId="4" fontId="24" fillId="23" borderId="1" xfId="0" applyNumberFormat="1" applyFont="1" applyFill="1" applyBorder="1" applyAlignment="1">
      <alignment horizontal="right" vertical="center"/>
    </xf>
    <xf numFmtId="0" fontId="2" fillId="24" borderId="1" xfId="0" applyFont="1" applyFill="1" applyBorder="1"/>
    <xf numFmtId="0" fontId="18" fillId="0" borderId="0" xfId="0" applyFont="1" applyAlignment="1">
      <alignment horizontal="center" vertical="center" textRotation="90"/>
    </xf>
    <xf numFmtId="0" fontId="16" fillId="0" borderId="0" xfId="0" applyFont="1" applyAlignment="1">
      <alignment horizontal="center" vertical="center"/>
    </xf>
    <xf numFmtId="0" fontId="18" fillId="4" borderId="0" xfId="0" applyFont="1" applyFill="1" applyAlignment="1">
      <alignment horizontal="center"/>
    </xf>
    <xf numFmtId="0" fontId="0" fillId="0" borderId="0" xfId="0" applyAlignment="1">
      <alignment horizontal="center" vertical="center"/>
    </xf>
    <xf numFmtId="0" fontId="18" fillId="9" borderId="0" xfId="0" applyFont="1" applyFill="1" applyAlignment="1">
      <alignment horizontal="center" vertical="center"/>
    </xf>
    <xf numFmtId="0" fontId="18" fillId="9" borderId="0" xfId="0" applyFont="1" applyFill="1" applyAlignment="1">
      <alignment horizontal="center"/>
    </xf>
    <xf numFmtId="0" fontId="2" fillId="9" borderId="0" xfId="0" applyFont="1" applyFill="1" applyAlignment="1">
      <alignment horizontal="center" vertical="center"/>
    </xf>
    <xf numFmtId="0" fontId="0" fillId="9" borderId="0" xfId="0" applyFill="1" applyAlignment="1">
      <alignment horizontal="center" vertical="center"/>
    </xf>
    <xf numFmtId="0" fontId="2" fillId="0" borderId="0" xfId="0" applyFont="1" applyAlignment="1">
      <alignment horizontal="center" vertical="center"/>
    </xf>
    <xf numFmtId="0" fontId="17" fillId="0" borderId="0" xfId="0" applyFont="1" applyAlignment="1">
      <alignment horizontal="center" wrapText="1"/>
    </xf>
    <xf numFmtId="0" fontId="13" fillId="9" borderId="0" xfId="0" applyFont="1" applyFill="1" applyAlignment="1">
      <alignment horizontal="center"/>
    </xf>
    <xf numFmtId="0" fontId="13" fillId="0" borderId="0" xfId="0" applyFont="1" applyAlignment="1">
      <alignment horizontal="center"/>
    </xf>
    <xf numFmtId="0" fontId="10" fillId="0" borderId="0" xfId="0" applyFont="1" applyAlignment="1">
      <alignment horizontal="center"/>
    </xf>
    <xf numFmtId="0" fontId="19" fillId="9" borderId="0" xfId="0" applyFont="1" applyFill="1" applyAlignment="1">
      <alignment horizontal="center"/>
    </xf>
    <xf numFmtId="0" fontId="2" fillId="5" borderId="1" xfId="0" applyFont="1" applyFill="1" applyBorder="1" applyAlignment="1">
      <alignment horizontal="center"/>
    </xf>
    <xf numFmtId="0" fontId="0" fillId="0" borderId="0" xfId="0" applyAlignment="1">
      <alignment horizontal="center"/>
    </xf>
    <xf numFmtId="0" fontId="15" fillId="13" borderId="1" xfId="0" applyFont="1" applyFill="1" applyBorder="1" applyAlignment="1">
      <alignment horizontal="center" vertical="center"/>
    </xf>
    <xf numFmtId="0" fontId="14" fillId="13" borderId="1" xfId="0" applyFont="1" applyFill="1" applyBorder="1" applyAlignment="1">
      <alignment horizontal="center" vertical="center"/>
    </xf>
    <xf numFmtId="0" fontId="2" fillId="13" borderId="1" xfId="0" applyFont="1" applyFill="1" applyBorder="1" applyAlignment="1">
      <alignment horizontal="center"/>
    </xf>
    <xf numFmtId="0" fontId="10" fillId="15" borderId="0" xfId="0" applyFont="1" applyFill="1"/>
    <xf numFmtId="0" fontId="10" fillId="3" borderId="0" xfId="0" applyFont="1" applyFill="1"/>
    <xf numFmtId="0" fontId="2" fillId="5" borderId="2" xfId="0" applyFont="1" applyFill="1" applyBorder="1" applyAlignment="1">
      <alignment horizontal="center"/>
    </xf>
    <xf numFmtId="0" fontId="2" fillId="5" borderId="9" xfId="0" applyFont="1" applyFill="1" applyBorder="1" applyAlignment="1">
      <alignment horizontal="center"/>
    </xf>
    <xf numFmtId="0" fontId="2" fillId="5" borderId="4" xfId="0" applyFont="1" applyFill="1" applyBorder="1" applyAlignment="1">
      <alignment horizontal="center"/>
    </xf>
    <xf numFmtId="0" fontId="8" fillId="0" borderId="0" xfId="0" applyFont="1" applyAlignment="1">
      <alignment horizontal="center" vertical="center"/>
    </xf>
    <xf numFmtId="0" fontId="16" fillId="8" borderId="0" xfId="0" applyFont="1" applyFill="1" applyAlignment="1">
      <alignment horizontal="center" vertical="center"/>
    </xf>
    <xf numFmtId="0" fontId="20" fillId="9" borderId="0" xfId="0" applyFont="1" applyFill="1"/>
    <xf numFmtId="0" fontId="2" fillId="0" borderId="0" xfId="0" applyFont="1" applyAlignment="1">
      <alignment horizontal="left" vertical="center" indent="1"/>
    </xf>
    <xf numFmtId="0" fontId="0" fillId="0" borderId="0" xfId="0" applyAlignment="1">
      <alignment horizontal="left" vertical="center" indent="1"/>
    </xf>
    <xf numFmtId="0" fontId="0" fillId="0" borderId="0" xfId="0"/>
    <xf numFmtId="0" fontId="2" fillId="11" borderId="6" xfId="0" applyFont="1" applyFill="1" applyBorder="1" applyAlignment="1">
      <alignment horizontal="center" vertical="center"/>
    </xf>
    <xf numFmtId="0" fontId="2" fillId="11" borderId="7" xfId="0" applyFont="1" applyFill="1" applyBorder="1" applyAlignment="1">
      <alignment horizontal="center" vertical="center"/>
    </xf>
    <xf numFmtId="0" fontId="2" fillId="11" borderId="1" xfId="0" applyFont="1" applyFill="1" applyBorder="1" applyAlignment="1">
      <alignment horizontal="center" vertical="center"/>
    </xf>
    <xf numFmtId="0" fontId="18" fillId="11" borderId="6" xfId="0" applyFont="1" applyFill="1" applyBorder="1" applyAlignment="1">
      <alignment horizontal="center" vertical="center" textRotation="90"/>
    </xf>
    <xf numFmtId="0" fontId="18" fillId="11" borderId="8" xfId="0" applyFont="1" applyFill="1" applyBorder="1" applyAlignment="1">
      <alignment horizontal="center" vertical="center" textRotation="90"/>
    </xf>
    <xf numFmtId="0" fontId="18" fillId="11" borderId="7" xfId="0" applyFont="1" applyFill="1" applyBorder="1" applyAlignment="1">
      <alignment horizontal="center" vertical="center" textRotation="90"/>
    </xf>
    <xf numFmtId="0" fontId="2" fillId="8" borderId="0" xfId="0" applyFont="1" applyFill="1" applyAlignment="1">
      <alignment horizontal="center" vertical="center"/>
    </xf>
    <xf numFmtId="0" fontId="0" fillId="23" borderId="0" xfId="0" applyFill="1" applyAlignment="1">
      <alignment horizontal="center"/>
    </xf>
    <xf numFmtId="0" fontId="0" fillId="23" borderId="5" xfId="0" applyFill="1" applyBorder="1" applyAlignment="1">
      <alignment horizontal="center"/>
    </xf>
    <xf numFmtId="0" fontId="25" fillId="0" borderId="0" xfId="0" applyFont="1" applyAlignment="1">
      <alignment horizontal="center" vertical="center"/>
    </xf>
    <xf numFmtId="0" fontId="26" fillId="21" borderId="0" xfId="2" applyFont="1" applyFill="1" applyAlignment="1">
      <alignment horizontal="center" vertical="center"/>
    </xf>
    <xf numFmtId="0" fontId="28" fillId="0" borderId="0" xfId="0" quotePrefix="1" applyFont="1" applyAlignment="1">
      <alignment horizontal="left" vertical="top" wrapText="1"/>
    </xf>
    <xf numFmtId="0" fontId="5" fillId="0" borderId="0" xfId="0" applyFont="1" applyAlignment="1">
      <alignment horizontal="center"/>
    </xf>
    <xf numFmtId="0" fontId="6" fillId="0" borderId="0" xfId="0" applyFont="1" applyAlignment="1">
      <alignment horizontal="center"/>
    </xf>
  </cellXfs>
  <cellStyles count="3">
    <cellStyle name="Normal" xfId="0" builtinId="0"/>
    <cellStyle name="Normal 4" xfId="2" xr:uid="{F8BA5AFC-AE6B-4F1F-8955-E2059397BD7F}"/>
    <cellStyle name="Percent" xfId="1" builtinId="5"/>
  </cellStyles>
  <dxfs count="0"/>
  <tableStyles count="0" defaultTableStyle="TableStyleMedium2" defaultPivotStyle="PivotStyleLight16"/>
  <colors>
    <mruColors>
      <color rgb="FF99FFCC"/>
      <color rgb="FFCCECFF"/>
      <color rgb="FFFFFF99"/>
      <color rgb="FFFFCCCC"/>
      <color rgb="FFCC99FF"/>
      <color rgb="FF9999FF"/>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effectLst>
                  <a:reflection endPos="0" dist="50800" dir="5400000" sy="-100000" algn="bl" rotWithShape="0"/>
                </a:effectLst>
                <a:latin typeface="+mn-lt"/>
                <a:ea typeface="+mn-ea"/>
                <a:cs typeface="+mn-cs"/>
              </a:defRPr>
            </a:pPr>
            <a:r>
              <a:rPr lang="en-US" b="1">
                <a:effectLst>
                  <a:reflection endPos="0" dist="50800" dir="5400000" sy="-100000" algn="bl" rotWithShape="0"/>
                </a:effectLst>
              </a:rPr>
              <a:t>"Contribution of Broader Categories to CPI Basket (Rural + Urban)"</a:t>
            </a:r>
            <a:r>
              <a:rPr lang="en-US">
                <a:effectLst>
                  <a:reflection endPos="0" dist="50800" dir="5400000" sy="-100000" algn="bl" rotWithShape="0"/>
                </a:effectLst>
              </a:rPr>
              <a:t> Title</a:t>
            </a:r>
          </a:p>
        </c:rich>
      </c:tx>
      <c:layout>
        <c:manualLayout>
          <c:xMode val="edge"/>
          <c:yMode val="edge"/>
          <c:x val="0.11482091959847132"/>
          <c:y val="4.099127580661375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effectLst>
                <a:reflection endPos="0" dist="50800" dir="5400000" sy="-100000" algn="bl" rotWithShape="0"/>
              </a:effectLst>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96214919322979"/>
          <c:y val="0.20386221482031625"/>
          <c:w val="0.5193037205178801"/>
          <c:h val="0.75417731274559618"/>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9CC-4620-A907-C02C2D6DDB1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9CC-4620-A907-C02C2D6DDB1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9CC-4620-A907-C02C2D6DDB1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9CC-4620-A907-C02C2D6DDB1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9CC-4620-A907-C02C2D6DDB1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9CC-4620-A907-C02C2D6DDB1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'1.Contribuation'!$M$8:$M$13</c:f>
              <c:strCache>
                <c:ptCount val="6"/>
                <c:pt idx="0">
                  <c:v>Food</c:v>
                </c:pt>
                <c:pt idx="1">
                  <c:v>Household Services</c:v>
                </c:pt>
                <c:pt idx="2">
                  <c:v>Essentials</c:v>
                </c:pt>
                <c:pt idx="3">
                  <c:v>Health</c:v>
                </c:pt>
                <c:pt idx="4">
                  <c:v>Luxury</c:v>
                </c:pt>
                <c:pt idx="5">
                  <c:v>Miscellaneous</c:v>
                </c:pt>
              </c:strCache>
            </c:strRef>
          </c:cat>
          <c:val>
            <c:numRef>
              <c:f>'1.Contribuation'!$S$8:$S$13</c:f>
              <c:numCache>
                <c:formatCode>0%</c:formatCode>
                <c:ptCount val="6"/>
                <c:pt idx="0">
                  <c:v>0.51507100116102533</c:v>
                </c:pt>
                <c:pt idx="1">
                  <c:v>7.9932124676252575E-2</c:v>
                </c:pt>
                <c:pt idx="2">
                  <c:v>0.19985263909975889</c:v>
                </c:pt>
                <c:pt idx="3">
                  <c:v>4.1461998749665094E-2</c:v>
                </c:pt>
                <c:pt idx="4">
                  <c:v>0.12445297847637761</c:v>
                </c:pt>
                <c:pt idx="5">
                  <c:v>3.9229257836920606E-2</c:v>
                </c:pt>
              </c:numCache>
            </c:numRef>
          </c:val>
          <c:extLst>
            <c:ext xmlns:c16="http://schemas.microsoft.com/office/drawing/2014/chart" uri="{C3380CC4-5D6E-409C-BE32-E72D297353CC}">
              <c16:uniqueId val="{00000000-92D6-45B4-8FD0-3DA9B3AF8D16}"/>
            </c:ext>
          </c:extLst>
        </c:ser>
        <c:dLbls>
          <c:dLblPos val="bestFit"/>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0635498914696024"/>
          <c:y val="0.25301756106973355"/>
          <c:w val="0.14781058409629871"/>
          <c:h val="0.509894296626452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CPI Inflation Trends in India: 2017–2023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'2.Y-O-Y Inflation'!$G$8</c:f>
              <c:strCache>
                <c:ptCount val="1"/>
                <c:pt idx="0">
                  <c:v>Inflation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numRef>
              <c:f>'2.Y-O-Y Inflation'!$D$9:$D$14</c:f>
              <c:numCache>
                <c:formatCode>General</c:formatCode>
                <c:ptCount val="6"/>
                <c:pt idx="0">
                  <c:v>2017</c:v>
                </c:pt>
                <c:pt idx="1">
                  <c:v>2018</c:v>
                </c:pt>
                <c:pt idx="2">
                  <c:v>2019</c:v>
                </c:pt>
                <c:pt idx="3">
                  <c:v>2020</c:v>
                </c:pt>
                <c:pt idx="4">
                  <c:v>2021</c:v>
                </c:pt>
                <c:pt idx="5">
                  <c:v>2022</c:v>
                </c:pt>
              </c:numCache>
            </c:numRef>
          </c:cat>
          <c:val>
            <c:numRef>
              <c:f>'2.Y-O-Y Inflation'!$G$9:$G$14</c:f>
              <c:numCache>
                <c:formatCode>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F43D-4115-A87A-382A87E74D98}"/>
            </c:ext>
          </c:extLst>
        </c:ser>
        <c:dLbls>
          <c:dLblPos val="t"/>
          <c:showLegendKey val="0"/>
          <c:showVal val="1"/>
          <c:showCatName val="0"/>
          <c:showSerName val="0"/>
          <c:showPercent val="0"/>
          <c:showBubbleSize val="0"/>
        </c:dLbls>
        <c:smooth val="0"/>
        <c:axId val="120716256"/>
        <c:axId val="120714816"/>
      </c:lineChart>
      <c:catAx>
        <c:axId val="120716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714816"/>
        <c:crosses val="autoZero"/>
        <c:auto val="1"/>
        <c:lblAlgn val="ctr"/>
        <c:lblOffset val="100"/>
        <c:noMultiLvlLbl val="0"/>
      </c:catAx>
      <c:valAx>
        <c:axId val="1207148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7162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Absolute inflation across categories for Rural, Urban, and combined Rural+Urban</a:t>
            </a:r>
          </a:p>
        </c:rich>
      </c:tx>
      <c:layout>
        <c:manualLayout>
          <c:xMode val="edge"/>
          <c:yMode val="edge"/>
          <c:x val="0.15697564483297"/>
          <c:y val="4.906264706502117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4751244204466407E-2"/>
          <c:y val="0.17900465801485116"/>
          <c:w val="0.93018813410767553"/>
          <c:h val="0.67369429855590257"/>
        </c:manualLayout>
      </c:layout>
      <c:barChart>
        <c:barDir val="col"/>
        <c:grouping val="clustered"/>
        <c:varyColors val="0"/>
        <c:ser>
          <c:idx val="0"/>
          <c:order val="0"/>
          <c:tx>
            <c:strRef>
              <c:f>'3.M-O-M | Absolute chnage '!$Q$26:$Q$27</c:f>
              <c:strCache>
                <c:ptCount val="2"/>
                <c:pt idx="0">
                  <c:v>Rural+Urban</c:v>
                </c:pt>
                <c:pt idx="1">
                  <c:v>Absolute change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'3.M-O-M | Absolute chnage '!$P$28:$P$40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'3.M-O-M | Absolute chnage '!$Q$28:$Q$40</c:f>
              <c:numCache>
                <c:formatCode>General</c:formatCode>
                <c:ptCount val="13"/>
                <c:pt idx="0">
                  <c:v>18.699999999999989</c:v>
                </c:pt>
                <c:pt idx="1">
                  <c:v>-5.0999999999999943</c:v>
                </c:pt>
                <c:pt idx="2">
                  <c:v>2.3999999999999773</c:v>
                </c:pt>
                <c:pt idx="3">
                  <c:v>13.699999999999989</c:v>
                </c:pt>
                <c:pt idx="4">
                  <c:v>-30.900000000000006</c:v>
                </c:pt>
                <c:pt idx="5">
                  <c:v>2.5</c:v>
                </c:pt>
                <c:pt idx="6">
                  <c:v>-21.300000000000011</c:v>
                </c:pt>
                <c:pt idx="7">
                  <c:v>11.299999999999983</c:v>
                </c:pt>
                <c:pt idx="8">
                  <c:v>2.7999999999999972</c:v>
                </c:pt>
                <c:pt idx="9">
                  <c:v>30.900000000000006</c:v>
                </c:pt>
                <c:pt idx="10">
                  <c:v>5.5</c:v>
                </c:pt>
                <c:pt idx="11">
                  <c:v>10.299999999999983</c:v>
                </c:pt>
                <c:pt idx="12">
                  <c:v>4.1999999999999886</c:v>
                </c:pt>
              </c:numCache>
            </c:numRef>
          </c:val>
          <c:extLst>
            <c:ext xmlns:c16="http://schemas.microsoft.com/office/drawing/2014/chart" uri="{C3380CC4-5D6E-409C-BE32-E72D297353CC}">
              <c16:uniqueId val="{00000000-890C-4D3F-8807-B82FFFF459E6}"/>
            </c:ext>
          </c:extLst>
        </c:ser>
        <c:ser>
          <c:idx val="1"/>
          <c:order val="1"/>
          <c:tx>
            <c:strRef>
              <c:f>'3.M-O-M | Absolute chnage '!$R$26:$R$27</c:f>
              <c:strCache>
                <c:ptCount val="2"/>
                <c:pt idx="0">
                  <c:v>Rural</c:v>
                </c:pt>
                <c:pt idx="1">
                  <c:v>Absolute change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'3.M-O-M | Absolute chnage '!$P$28:$P$40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'3.M-O-M | Absolute chnage '!$R$28:$R$40</c:f>
              <c:numCache>
                <c:formatCode>General</c:formatCode>
                <c:ptCount val="13"/>
                <c:pt idx="0">
                  <c:v>19.399999999999977</c:v>
                </c:pt>
                <c:pt idx="1">
                  <c:v>-5.6999999999999886</c:v>
                </c:pt>
                <c:pt idx="2">
                  <c:v>1.4000000000000057</c:v>
                </c:pt>
                <c:pt idx="3">
                  <c:v>14.199999999999989</c:v>
                </c:pt>
                <c:pt idx="4">
                  <c:v>-34.799999999999983</c:v>
                </c:pt>
                <c:pt idx="5">
                  <c:v>3.1999999999999886</c:v>
                </c:pt>
                <c:pt idx="6">
                  <c:v>-18.600000000000023</c:v>
                </c:pt>
                <c:pt idx="7">
                  <c:v>10.300000000000011</c:v>
                </c:pt>
                <c:pt idx="8">
                  <c:v>2.8000000000000114</c:v>
                </c:pt>
                <c:pt idx="9">
                  <c:v>32.099999999999994</c:v>
                </c:pt>
                <c:pt idx="10">
                  <c:v>4.5</c:v>
                </c:pt>
                <c:pt idx="11">
                  <c:v>9.1999999999999886</c:v>
                </c:pt>
                <c:pt idx="12">
                  <c:v>4.4000000000000057</c:v>
                </c:pt>
              </c:numCache>
            </c:numRef>
          </c:val>
          <c:extLst>
            <c:ext xmlns:c16="http://schemas.microsoft.com/office/drawing/2014/chart" uri="{C3380CC4-5D6E-409C-BE32-E72D297353CC}">
              <c16:uniqueId val="{00000001-890C-4D3F-8807-B82FFFF459E6}"/>
            </c:ext>
          </c:extLst>
        </c:ser>
        <c:ser>
          <c:idx val="2"/>
          <c:order val="2"/>
          <c:tx>
            <c:strRef>
              <c:f>'3.M-O-M | Absolute chnage '!$S$26:$S$27</c:f>
              <c:strCache>
                <c:ptCount val="2"/>
                <c:pt idx="0">
                  <c:v>Urban</c:v>
                </c:pt>
                <c:pt idx="1">
                  <c:v>Absolute change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'3.M-O-M | Absolute chnage '!$P$28:$P$40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'3.M-O-M | Absolute chnage '!$S$28:$S$40</c:f>
              <c:numCache>
                <c:formatCode>General</c:formatCode>
                <c:ptCount val="13"/>
                <c:pt idx="0">
                  <c:v>17.199999999999989</c:v>
                </c:pt>
                <c:pt idx="1">
                  <c:v>-4</c:v>
                </c:pt>
                <c:pt idx="2">
                  <c:v>3.8999999999999773</c:v>
                </c:pt>
                <c:pt idx="3">
                  <c:v>13</c:v>
                </c:pt>
                <c:pt idx="4">
                  <c:v>-24.199999999999989</c:v>
                </c:pt>
                <c:pt idx="5">
                  <c:v>1.7000000000000171</c:v>
                </c:pt>
                <c:pt idx="6">
                  <c:v>-26.5</c:v>
                </c:pt>
                <c:pt idx="7">
                  <c:v>13.300000000000011</c:v>
                </c:pt>
                <c:pt idx="8">
                  <c:v>2.7999999999999972</c:v>
                </c:pt>
                <c:pt idx="9">
                  <c:v>28.400000000000006</c:v>
                </c:pt>
                <c:pt idx="10">
                  <c:v>6.8000000000000114</c:v>
                </c:pt>
                <c:pt idx="11">
                  <c:v>11.399999999999977</c:v>
                </c:pt>
                <c:pt idx="12">
                  <c:v>3.7999999999999829</c:v>
                </c:pt>
              </c:numCache>
            </c:numRef>
          </c:val>
          <c:extLst>
            <c:ext xmlns:c16="http://schemas.microsoft.com/office/drawing/2014/chart" uri="{C3380CC4-5D6E-409C-BE32-E72D297353CC}">
              <c16:uniqueId val="{00000002-890C-4D3F-8807-B82FFFF459E6}"/>
            </c:ext>
          </c:extLst>
        </c:ser>
        <c:dLbls>
          <c:showLegendKey val="0"/>
          <c:showVal val="0"/>
          <c:showCatName val="0"/>
          <c:showSerName val="0"/>
          <c:showPercent val="0"/>
          <c:showBubbleSize val="0"/>
        </c:dLbls>
        <c:gapWidth val="100"/>
        <c:overlap val="-24"/>
        <c:axId val="1328830000"/>
        <c:axId val="1328833360"/>
      </c:barChart>
      <c:catAx>
        <c:axId val="1328830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833360"/>
        <c:crosses val="autoZero"/>
        <c:auto val="1"/>
        <c:lblAlgn val="ctr"/>
        <c:lblOffset val="100"/>
        <c:noMultiLvlLbl val="0"/>
      </c:catAx>
      <c:valAx>
        <c:axId val="1328833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83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249775235464772E-2"/>
          <c:y val="0.14333278482512873"/>
          <c:w val="0.93884755659767527"/>
          <c:h val="0.77930943796519125"/>
        </c:manualLayout>
      </c:layout>
      <c:barChart>
        <c:barDir val="col"/>
        <c:grouping val="clustered"/>
        <c:varyColors val="0"/>
        <c:ser>
          <c:idx val="0"/>
          <c:order val="0"/>
          <c:tx>
            <c:strRef>
              <c:f>'3.M-O-M | Absolute chnage '!$F$7</c:f>
              <c:strCache>
                <c:ptCount val="1"/>
                <c:pt idx="0">
                  <c:v>Rural inlation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'3.M-O-M | Absolute chnage '!$D$8:$E$20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cat>
          <c:val>
            <c:numRef>
              <c:f>'3.M-O-M | Absolute chnage '!$F$8:$F$20</c:f>
              <c:numCache>
                <c:formatCode>0.0%</c:formatCode>
                <c:ptCount val="13"/>
                <c:pt idx="1">
                  <c:v>9.6551104724268005E-3</c:v>
                </c:pt>
                <c:pt idx="2">
                  <c:v>1.8680781034558635E-3</c:v>
                </c:pt>
                <c:pt idx="3">
                  <c:v>1.4650388457268489E-3</c:v>
                </c:pt>
                <c:pt idx="4">
                  <c:v>5.3196205337354627E-3</c:v>
                </c:pt>
                <c:pt idx="5">
                  <c:v>7.3639650762853063E-3</c:v>
                </c:pt>
                <c:pt idx="6">
                  <c:v>1.4007441453271255E-3</c:v>
                </c:pt>
                <c:pt idx="7">
                  <c:v>-4.6334746688813698E-3</c:v>
                </c:pt>
                <c:pt idx="8">
                  <c:v>2.678845900487622E-3</c:v>
                </c:pt>
                <c:pt idx="9">
                  <c:v>-7.6646811492643886E-3</c:v>
                </c:pt>
                <c:pt idx="10">
                  <c:v>4.4136469965292762E-5</c:v>
                </c:pt>
                <c:pt idx="11">
                  <c:v>3.7072998499424643E-3</c:v>
                </c:pt>
                <c:pt idx="12">
                  <c:v>7.2552985665292899E-3</c:v>
                </c:pt>
              </c:numCache>
            </c:numRef>
          </c:val>
          <c:extLst>
            <c:ext xmlns:c16="http://schemas.microsoft.com/office/drawing/2014/chart" uri="{C3380CC4-5D6E-409C-BE32-E72D297353CC}">
              <c16:uniqueId val="{00000000-172D-4BBB-9803-8127CD5D8093}"/>
            </c:ext>
          </c:extLst>
        </c:ser>
        <c:ser>
          <c:idx val="1"/>
          <c:order val="1"/>
          <c:tx>
            <c:strRef>
              <c:f>'3.M-O-M | Absolute chnage '!$G$7</c:f>
              <c:strCache>
                <c:ptCount val="1"/>
                <c:pt idx="0">
                  <c:v>Urban inlation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'3.M-O-M | Absolute chnage '!$D$8:$E$20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cat>
          <c:val>
            <c:numRef>
              <c:f>'3.M-O-M | Absolute chnage '!$G$8:$G$20</c:f>
              <c:numCache>
                <c:formatCode>0.0%</c:formatCode>
                <c:ptCount val="13"/>
                <c:pt idx="1">
                  <c:v>1.11838033772433E-2</c:v>
                </c:pt>
                <c:pt idx="2">
                  <c:v>1.7923497267759165E-3</c:v>
                </c:pt>
                <c:pt idx="3">
                  <c:v>9.1639029499036005E-4</c:v>
                </c:pt>
                <c:pt idx="4">
                  <c:v>5.5369054366308902E-3</c:v>
                </c:pt>
                <c:pt idx="5">
                  <c:v>6.8938605619147117E-3</c:v>
                </c:pt>
                <c:pt idx="6">
                  <c:v>-3.4017999397149765E-3</c:v>
                </c:pt>
                <c:pt idx="7">
                  <c:v>-8.0366401659178899E-3</c:v>
                </c:pt>
                <c:pt idx="8">
                  <c:v>6.2723233731163631E-3</c:v>
                </c:pt>
                <c:pt idx="9">
                  <c:v>-3.0300406891180217E-3</c:v>
                </c:pt>
                <c:pt idx="10">
                  <c:v>8.6835706842772171E-5</c:v>
                </c:pt>
                <c:pt idx="11">
                  <c:v>6.2082139446037084E-3</c:v>
                </c:pt>
                <c:pt idx="12">
                  <c:v>7.5074427233894096E-3</c:v>
                </c:pt>
              </c:numCache>
            </c:numRef>
          </c:val>
          <c:extLst>
            <c:ext xmlns:c16="http://schemas.microsoft.com/office/drawing/2014/chart" uri="{C3380CC4-5D6E-409C-BE32-E72D297353CC}">
              <c16:uniqueId val="{00000001-172D-4BBB-9803-8127CD5D8093}"/>
            </c:ext>
          </c:extLst>
        </c:ser>
        <c:ser>
          <c:idx val="2"/>
          <c:order val="2"/>
          <c:tx>
            <c:strRef>
              <c:f>'3.M-O-M | Absolute chnage '!$H$7</c:f>
              <c:strCache>
                <c:ptCount val="1"/>
                <c:pt idx="0">
                  <c:v>Rural+Urban inlation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'3.M-O-M | Absolute chnage '!$D$8:$E$20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cat>
          <c:val>
            <c:numRef>
              <c:f>'3.M-O-M | Absolute chnage '!$H$8:$H$20</c:f>
              <c:numCache>
                <c:formatCode>0.0%</c:formatCode>
                <c:ptCount val="13"/>
                <c:pt idx="1">
                  <c:v>1.0272901871454526E-2</c:v>
                </c:pt>
                <c:pt idx="2">
                  <c:v>1.9452672531942573E-3</c:v>
                </c:pt>
                <c:pt idx="3">
                  <c:v>1.279618761858576E-3</c:v>
                </c:pt>
                <c:pt idx="4">
                  <c:v>5.1560021152828386E-3</c:v>
                </c:pt>
                <c:pt idx="5">
                  <c:v>7.1901442413082953E-3</c:v>
                </c:pt>
                <c:pt idx="6">
                  <c:v>-2.1764680276846731E-4</c:v>
                </c:pt>
                <c:pt idx="7">
                  <c:v>-5.8342041100662182E-3</c:v>
                </c:pt>
                <c:pt idx="8">
                  <c:v>4.0728737847068961E-3</c:v>
                </c:pt>
                <c:pt idx="9">
                  <c:v>-5.9318707201116193E-3</c:v>
                </c:pt>
                <c:pt idx="10">
                  <c:v>4.3876968978943027E-5</c:v>
                </c:pt>
                <c:pt idx="11">
                  <c:v>4.5630045630048032E-3</c:v>
                </c:pt>
                <c:pt idx="12">
                  <c:v>7.5559049615652185E-3</c:v>
                </c:pt>
              </c:numCache>
            </c:numRef>
          </c:val>
          <c:extLst>
            <c:ext xmlns:c16="http://schemas.microsoft.com/office/drawing/2014/chart" uri="{C3380CC4-5D6E-409C-BE32-E72D297353CC}">
              <c16:uniqueId val="{00000002-172D-4BBB-9803-8127CD5D8093}"/>
            </c:ext>
          </c:extLst>
        </c:ser>
        <c:dLbls>
          <c:showLegendKey val="0"/>
          <c:showVal val="0"/>
          <c:showCatName val="0"/>
          <c:showSerName val="0"/>
          <c:showPercent val="0"/>
          <c:showBubbleSize val="0"/>
        </c:dLbls>
        <c:gapWidth val="100"/>
        <c:overlap val="-24"/>
        <c:axId val="616557839"/>
        <c:axId val="616558319"/>
      </c:barChart>
      <c:catAx>
        <c:axId val="616557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558319"/>
        <c:crosses val="autoZero"/>
        <c:auto val="1"/>
        <c:lblAlgn val="ctr"/>
        <c:lblOffset val="100"/>
        <c:noMultiLvlLbl val="0"/>
      </c:catAx>
      <c:valAx>
        <c:axId val="61655831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55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Y-O-Y Inflation trends pre- and post-Covid for R+U</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2133708856987999E-2"/>
          <c:y val="0.13131601865307854"/>
          <c:w val="0.90358194913742784"/>
          <c:h val="0.67351709126179782"/>
        </c:manualLayout>
      </c:layout>
      <c:lineChart>
        <c:grouping val="standard"/>
        <c:varyColors val="0"/>
        <c:ser>
          <c:idx val="0"/>
          <c:order val="0"/>
          <c:tx>
            <c:strRef>
              <c:f>'4.COVID | Y-O-Y Impact'!$D$29:$E$29</c:f>
              <c:strCache>
                <c:ptCount val="2"/>
                <c:pt idx="0">
                  <c:v>Rural+urban</c:v>
                </c:pt>
                <c:pt idx="1">
                  <c:v>food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 Y-O-Y Impact'!$F$28:$I$28</c:f>
              <c:strCache>
                <c:ptCount val="4"/>
                <c:pt idx="0">
                  <c:v>2018-2019</c:v>
                </c:pt>
                <c:pt idx="1">
                  <c:v>2019-2020</c:v>
                </c:pt>
                <c:pt idx="2">
                  <c:v>2020-2021</c:v>
                </c:pt>
                <c:pt idx="3">
                  <c:v>2021-2022</c:v>
                </c:pt>
              </c:strCache>
            </c:strRef>
          </c:cat>
          <c:val>
            <c:numRef>
              <c:f>'4.COVID | Y-O-Y Impact'!$F$29:$I$29</c:f>
              <c:numCache>
                <c:formatCode>0.0%</c:formatCode>
                <c:ptCount val="4"/>
                <c:pt idx="0">
                  <c:v>3.3008935177281785E-3</c:v>
                </c:pt>
                <c:pt idx="1">
                  <c:v>6.6389107685383281E-2</c:v>
                </c:pt>
                <c:pt idx="2">
                  <c:v>4.1253956907995486E-2</c:v>
                </c:pt>
                <c:pt idx="3">
                  <c:v>5.8185165447410675E-2</c:v>
                </c:pt>
              </c:numCache>
            </c:numRef>
          </c:val>
          <c:smooth val="0"/>
          <c:extLst>
            <c:ext xmlns:c16="http://schemas.microsoft.com/office/drawing/2014/chart" uri="{C3380CC4-5D6E-409C-BE32-E72D297353CC}">
              <c16:uniqueId val="{00000000-F92E-4B74-A280-BE12FA4D8B9C}"/>
            </c:ext>
          </c:extLst>
        </c:ser>
        <c:ser>
          <c:idx val="1"/>
          <c:order val="1"/>
          <c:tx>
            <c:strRef>
              <c:f>'4.COVID | Y-O-Y Impact'!$D$30:$E$30</c:f>
              <c:strCache>
                <c:ptCount val="2"/>
                <c:pt idx="0">
                  <c:v>Rural+urban</c:v>
                </c:pt>
                <c:pt idx="1">
                  <c:v>Essentials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 Y-O-Y Impact'!$F$28:$I$28</c:f>
              <c:strCache>
                <c:ptCount val="4"/>
                <c:pt idx="0">
                  <c:v>2018-2019</c:v>
                </c:pt>
                <c:pt idx="1">
                  <c:v>2019-2020</c:v>
                </c:pt>
                <c:pt idx="2">
                  <c:v>2020-2021</c:v>
                </c:pt>
                <c:pt idx="3">
                  <c:v>2021-2022</c:v>
                </c:pt>
              </c:strCache>
            </c:strRef>
          </c:cat>
          <c:val>
            <c:numRef>
              <c:f>'4.COVID | Y-O-Y Impact'!$F$30:$I$30</c:f>
              <c:numCache>
                <c:formatCode>0.0%</c:formatCode>
                <c:ptCount val="4"/>
                <c:pt idx="0">
                  <c:v>2.9160017408965816E-2</c:v>
                </c:pt>
                <c:pt idx="1">
                  <c:v>2.5175808720112644E-2</c:v>
                </c:pt>
                <c:pt idx="2">
                  <c:v>4.9146757679180884E-2</c:v>
                </c:pt>
                <c:pt idx="3">
                  <c:v>7.8029812054439318E-2</c:v>
                </c:pt>
              </c:numCache>
            </c:numRef>
          </c:val>
          <c:smooth val="0"/>
          <c:extLst>
            <c:ext xmlns:c16="http://schemas.microsoft.com/office/drawing/2014/chart" uri="{C3380CC4-5D6E-409C-BE32-E72D297353CC}">
              <c16:uniqueId val="{00000001-F92E-4B74-A280-BE12FA4D8B9C}"/>
            </c:ext>
          </c:extLst>
        </c:ser>
        <c:ser>
          <c:idx val="2"/>
          <c:order val="2"/>
          <c:tx>
            <c:strRef>
              <c:f>'4.COVID | Y-O-Y Impact'!$D$31:$E$31</c:f>
              <c:strCache>
                <c:ptCount val="2"/>
                <c:pt idx="0">
                  <c:v>Rural+urban</c:v>
                </c:pt>
                <c:pt idx="1">
                  <c:v>Health</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 Y-O-Y Impact'!$F$28:$I$28</c:f>
              <c:strCache>
                <c:ptCount val="4"/>
                <c:pt idx="0">
                  <c:v>2018-2019</c:v>
                </c:pt>
                <c:pt idx="1">
                  <c:v>2019-2020</c:v>
                </c:pt>
                <c:pt idx="2">
                  <c:v>2020-2021</c:v>
                </c:pt>
                <c:pt idx="3">
                  <c:v>2021-2022</c:v>
                </c:pt>
              </c:strCache>
            </c:strRef>
          </c:cat>
          <c:val>
            <c:numRef>
              <c:f>'4.COVID | Y-O-Y Impact'!$F$31:$I$31</c:f>
              <c:numCache>
                <c:formatCode>0.0%</c:formatCode>
                <c:ptCount val="4"/>
                <c:pt idx="0">
                  <c:v>8.1360946745562143E-2</c:v>
                </c:pt>
                <c:pt idx="1">
                  <c:v>3.9235755714773113E-2</c:v>
                </c:pt>
                <c:pt idx="2">
                  <c:v>7.2992700729927015E-2</c:v>
                </c:pt>
                <c:pt idx="3">
                  <c:v>6.5927295132470656E-2</c:v>
                </c:pt>
              </c:numCache>
            </c:numRef>
          </c:val>
          <c:smooth val="0"/>
          <c:extLst>
            <c:ext xmlns:c16="http://schemas.microsoft.com/office/drawing/2014/chart" uri="{C3380CC4-5D6E-409C-BE32-E72D297353CC}">
              <c16:uniqueId val="{00000002-F92E-4B74-A280-BE12FA4D8B9C}"/>
            </c:ext>
          </c:extLst>
        </c:ser>
        <c:dLbls>
          <c:dLblPos val="ctr"/>
          <c:showLegendKey val="0"/>
          <c:showVal val="1"/>
          <c:showCatName val="0"/>
          <c:showSerName val="0"/>
          <c:showPercent val="0"/>
          <c:showBubbleSize val="0"/>
        </c:dLbls>
        <c:marker val="1"/>
        <c:smooth val="0"/>
        <c:axId val="1861114943"/>
        <c:axId val="1861123103"/>
      </c:lineChart>
      <c:catAx>
        <c:axId val="1861114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1123103"/>
        <c:crosses val="autoZero"/>
        <c:auto val="1"/>
        <c:lblAlgn val="ctr"/>
        <c:lblOffset val="100"/>
        <c:noMultiLvlLbl val="0"/>
      </c:catAx>
      <c:valAx>
        <c:axId val="1861123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86111494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 Y-O-Y Inflation trends pre- and post -Covid for  Rural</a:t>
            </a:r>
          </a:p>
        </c:rich>
      </c:tx>
      <c:layout>
        <c:manualLayout>
          <c:xMode val="edge"/>
          <c:yMode val="edge"/>
          <c:x val="0.1688834534119078"/>
          <c:y val="2.975001243096951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5.1831565833054788E-2"/>
          <c:y val="0.13619267570475813"/>
          <c:w val="0.92244092294914259"/>
          <c:h val="0.72456741757944543"/>
        </c:manualLayout>
      </c:layout>
      <c:lineChart>
        <c:grouping val="standard"/>
        <c:varyColors val="0"/>
        <c:ser>
          <c:idx val="0"/>
          <c:order val="0"/>
          <c:tx>
            <c:strRef>
              <c:f>'4.COVID | Y-O-Y Impact'!$M$29:$N$29</c:f>
              <c:strCache>
                <c:ptCount val="2"/>
                <c:pt idx="0">
                  <c:v>Rural</c:v>
                </c:pt>
                <c:pt idx="1">
                  <c:v>food</c:v>
                </c:pt>
              </c:strCache>
            </c:strRef>
          </c:tx>
          <c:spPr>
            <a:ln w="28575" cap="rnd">
              <a:solidFill>
                <a:schemeClr val="accent1"/>
              </a:solidFill>
              <a:round/>
            </a:ln>
            <a:effectLst/>
          </c:spPr>
          <c:marker>
            <c:symbol val="none"/>
          </c:marker>
          <c:cat>
            <c:strRef>
              <c:f>'4.COVID | Y-O-Y Impact'!$O$28:$R$28</c:f>
              <c:strCache>
                <c:ptCount val="4"/>
                <c:pt idx="0">
                  <c:v>2018-2019</c:v>
                </c:pt>
                <c:pt idx="1">
                  <c:v>2019-2020</c:v>
                </c:pt>
                <c:pt idx="2">
                  <c:v>2020-2021</c:v>
                </c:pt>
                <c:pt idx="3">
                  <c:v>2021-2022</c:v>
                </c:pt>
              </c:strCache>
            </c:strRef>
          </c:cat>
          <c:val>
            <c:numRef>
              <c:f>'4.COVID | Y-O-Y Impact'!$O$29:$R$29</c:f>
              <c:numCache>
                <c:formatCode>0.0%</c:formatCode>
                <c:ptCount val="4"/>
                <c:pt idx="0">
                  <c:v>-1.0561797752808799E-2</c:v>
                </c:pt>
                <c:pt idx="1">
                  <c:v>6.9398583241610551E-2</c:v>
                </c:pt>
                <c:pt idx="2">
                  <c:v>3.8802755508452885E-2</c:v>
                </c:pt>
                <c:pt idx="3">
                  <c:v>6.3234935350085564E-2</c:v>
                </c:pt>
              </c:numCache>
            </c:numRef>
          </c:val>
          <c:smooth val="0"/>
          <c:extLst>
            <c:ext xmlns:c16="http://schemas.microsoft.com/office/drawing/2014/chart" uri="{C3380CC4-5D6E-409C-BE32-E72D297353CC}">
              <c16:uniqueId val="{00000000-3D87-474B-8CB2-6DF2A81AA4BB}"/>
            </c:ext>
          </c:extLst>
        </c:ser>
        <c:ser>
          <c:idx val="1"/>
          <c:order val="1"/>
          <c:tx>
            <c:strRef>
              <c:f>'4.COVID | Y-O-Y Impact'!$M$30:$N$30</c:f>
              <c:strCache>
                <c:ptCount val="2"/>
                <c:pt idx="0">
                  <c:v>Rural</c:v>
                </c:pt>
                <c:pt idx="1">
                  <c:v>Essentials</c:v>
                </c:pt>
              </c:strCache>
            </c:strRef>
          </c:tx>
          <c:spPr>
            <a:ln w="28575" cap="rnd">
              <a:solidFill>
                <a:schemeClr val="accent2"/>
              </a:solidFill>
              <a:round/>
            </a:ln>
            <a:effectLst/>
          </c:spPr>
          <c:marker>
            <c:symbol val="none"/>
          </c:marker>
          <c:cat>
            <c:strRef>
              <c:f>'4.COVID | Y-O-Y Impact'!$O$28:$R$28</c:f>
              <c:strCache>
                <c:ptCount val="4"/>
                <c:pt idx="0">
                  <c:v>2018-2019</c:v>
                </c:pt>
                <c:pt idx="1">
                  <c:v>2019-2020</c:v>
                </c:pt>
                <c:pt idx="2">
                  <c:v>2020-2021</c:v>
                </c:pt>
                <c:pt idx="3">
                  <c:v>2021-2022</c:v>
                </c:pt>
              </c:strCache>
            </c:strRef>
          </c:cat>
          <c:val>
            <c:numRef>
              <c:f>'4.COVID | Y-O-Y Impact'!$O$30:$R$30</c:f>
              <c:numCache>
                <c:formatCode>0.0%</c:formatCode>
                <c:ptCount val="4"/>
                <c:pt idx="0">
                  <c:v>2.9374560787069539E-2</c:v>
                </c:pt>
                <c:pt idx="1">
                  <c:v>2.2549219974112772E-2</c:v>
                </c:pt>
                <c:pt idx="2">
                  <c:v>4.4631020768890799E-2</c:v>
                </c:pt>
                <c:pt idx="3">
                  <c:v>8.186986734049298E-2</c:v>
                </c:pt>
              </c:numCache>
            </c:numRef>
          </c:val>
          <c:smooth val="0"/>
          <c:extLst>
            <c:ext xmlns:c16="http://schemas.microsoft.com/office/drawing/2014/chart" uri="{C3380CC4-5D6E-409C-BE32-E72D297353CC}">
              <c16:uniqueId val="{00000001-3D87-474B-8CB2-6DF2A81AA4BB}"/>
            </c:ext>
          </c:extLst>
        </c:ser>
        <c:ser>
          <c:idx val="2"/>
          <c:order val="2"/>
          <c:tx>
            <c:strRef>
              <c:f>'4.COVID | Y-O-Y Impact'!$M$31:$N$31</c:f>
              <c:strCache>
                <c:ptCount val="2"/>
                <c:pt idx="0">
                  <c:v>Rural</c:v>
                </c:pt>
                <c:pt idx="1">
                  <c:v>Health</c:v>
                </c:pt>
              </c:strCache>
            </c:strRef>
          </c:tx>
          <c:spPr>
            <a:ln w="28575" cap="rnd">
              <a:solidFill>
                <a:schemeClr val="accent3"/>
              </a:solidFill>
              <a:round/>
            </a:ln>
            <a:effectLst/>
          </c:spPr>
          <c:marker>
            <c:symbol val="none"/>
          </c:marker>
          <c:cat>
            <c:strRef>
              <c:f>'4.COVID | Y-O-Y Impact'!$O$28:$R$28</c:f>
              <c:strCache>
                <c:ptCount val="4"/>
                <c:pt idx="0">
                  <c:v>2018-2019</c:v>
                </c:pt>
                <c:pt idx="1">
                  <c:v>2019-2020</c:v>
                </c:pt>
                <c:pt idx="2">
                  <c:v>2020-2021</c:v>
                </c:pt>
                <c:pt idx="3">
                  <c:v>2021-2022</c:v>
                </c:pt>
              </c:strCache>
            </c:strRef>
          </c:cat>
          <c:val>
            <c:numRef>
              <c:f>'4.COVID | Y-O-Y Impact'!$O$31:$R$31</c:f>
              <c:numCache>
                <c:formatCode>0.0%</c:formatCode>
                <c:ptCount val="4"/>
                <c:pt idx="0">
                  <c:v>9.302325581395357E-2</c:v>
                </c:pt>
                <c:pt idx="1">
                  <c:v>3.8780245276764769E-2</c:v>
                </c:pt>
                <c:pt idx="2">
                  <c:v>6.6753078418664819E-2</c:v>
                </c:pt>
                <c:pt idx="3">
                  <c:v>6.4730792498487524E-2</c:v>
                </c:pt>
              </c:numCache>
            </c:numRef>
          </c:val>
          <c:smooth val="0"/>
          <c:extLst>
            <c:ext xmlns:c16="http://schemas.microsoft.com/office/drawing/2014/chart" uri="{C3380CC4-5D6E-409C-BE32-E72D297353CC}">
              <c16:uniqueId val="{00000002-3D87-474B-8CB2-6DF2A81AA4BB}"/>
            </c:ext>
          </c:extLst>
        </c:ser>
        <c:dLbls>
          <c:showLegendKey val="0"/>
          <c:showVal val="0"/>
          <c:showCatName val="0"/>
          <c:showSerName val="0"/>
          <c:showPercent val="0"/>
          <c:showBubbleSize val="0"/>
        </c:dLbls>
        <c:smooth val="0"/>
        <c:axId val="1067720096"/>
        <c:axId val="1067727776"/>
      </c:lineChart>
      <c:catAx>
        <c:axId val="106772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27776"/>
        <c:crosses val="autoZero"/>
        <c:auto val="1"/>
        <c:lblAlgn val="ctr"/>
        <c:lblOffset val="100"/>
        <c:noMultiLvlLbl val="0"/>
      </c:catAx>
      <c:valAx>
        <c:axId val="1067727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2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 Y-O-Y Inflation trends pre- and post -Covid for  Urban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'4.COVID | Y-O-Y Impact'!$U$29:$V$29</c:f>
              <c:strCache>
                <c:ptCount val="2"/>
                <c:pt idx="0">
                  <c:v>urban</c:v>
                </c:pt>
                <c:pt idx="1">
                  <c:v>food</c:v>
                </c:pt>
              </c:strCache>
            </c:strRef>
          </c:tx>
          <c:spPr>
            <a:ln w="28575" cap="rnd">
              <a:solidFill>
                <a:schemeClr val="accent1"/>
              </a:solidFill>
              <a:round/>
            </a:ln>
            <a:effectLst/>
          </c:spPr>
          <c:marker>
            <c:symbol val="none"/>
          </c:marker>
          <c:cat>
            <c:strRef>
              <c:f>'4.COVID | Y-O-Y Impact'!$W$28:$Z$28</c:f>
              <c:strCache>
                <c:ptCount val="4"/>
                <c:pt idx="0">
                  <c:v>2018-2019</c:v>
                </c:pt>
                <c:pt idx="1">
                  <c:v>2019-2020</c:v>
                </c:pt>
                <c:pt idx="2">
                  <c:v>2020-2021</c:v>
                </c:pt>
                <c:pt idx="3">
                  <c:v>2021-2022</c:v>
                </c:pt>
              </c:strCache>
            </c:strRef>
          </c:cat>
          <c:val>
            <c:numRef>
              <c:f>'4.COVID | Y-O-Y Impact'!$W$29:$Z$29</c:f>
              <c:numCache>
                <c:formatCode>0.0%</c:formatCode>
                <c:ptCount val="4"/>
                <c:pt idx="0">
                  <c:v>2.8139534883720847E-2</c:v>
                </c:pt>
                <c:pt idx="1">
                  <c:v>6.0644152071286879E-2</c:v>
                </c:pt>
                <c:pt idx="2">
                  <c:v>4.5845997973657321E-2</c:v>
                </c:pt>
                <c:pt idx="3">
                  <c:v>5.1062404287902124E-2</c:v>
                </c:pt>
              </c:numCache>
            </c:numRef>
          </c:val>
          <c:smooth val="0"/>
          <c:extLst>
            <c:ext xmlns:c16="http://schemas.microsoft.com/office/drawing/2014/chart" uri="{C3380CC4-5D6E-409C-BE32-E72D297353CC}">
              <c16:uniqueId val="{00000000-7023-4CAB-AADC-66635A85C14B}"/>
            </c:ext>
          </c:extLst>
        </c:ser>
        <c:ser>
          <c:idx val="1"/>
          <c:order val="1"/>
          <c:tx>
            <c:strRef>
              <c:f>'4.COVID | Y-O-Y Impact'!$U$30:$V$30</c:f>
              <c:strCache>
                <c:ptCount val="2"/>
                <c:pt idx="0">
                  <c:v>urban</c:v>
                </c:pt>
                <c:pt idx="1">
                  <c:v>Essentials</c:v>
                </c:pt>
              </c:strCache>
            </c:strRef>
          </c:tx>
          <c:spPr>
            <a:ln w="28575" cap="rnd">
              <a:solidFill>
                <a:schemeClr val="accent2"/>
              </a:solidFill>
              <a:round/>
            </a:ln>
            <a:effectLst/>
          </c:spPr>
          <c:marker>
            <c:symbol val="none"/>
          </c:marker>
          <c:cat>
            <c:strRef>
              <c:f>'4.COVID | Y-O-Y Impact'!$W$28:$Z$28</c:f>
              <c:strCache>
                <c:ptCount val="4"/>
                <c:pt idx="0">
                  <c:v>2018-2019</c:v>
                </c:pt>
                <c:pt idx="1">
                  <c:v>2019-2020</c:v>
                </c:pt>
                <c:pt idx="2">
                  <c:v>2020-2021</c:v>
                </c:pt>
                <c:pt idx="3">
                  <c:v>2021-2022</c:v>
                </c:pt>
              </c:strCache>
            </c:strRef>
          </c:cat>
          <c:val>
            <c:numRef>
              <c:f>'4.COVID | Y-O-Y Impact'!$W$30:$Z$30</c:f>
              <c:numCache>
                <c:formatCode>0.0%</c:formatCode>
                <c:ptCount val="4"/>
                <c:pt idx="0">
                  <c:v>3.469696969696949E-2</c:v>
                </c:pt>
                <c:pt idx="1">
                  <c:v>2.8855285265541843E-2</c:v>
                </c:pt>
                <c:pt idx="2">
                  <c:v>5.3695068531863788E-2</c:v>
                </c:pt>
                <c:pt idx="3">
                  <c:v>7.1094480823199149E-2</c:v>
                </c:pt>
              </c:numCache>
            </c:numRef>
          </c:val>
          <c:smooth val="0"/>
          <c:extLst>
            <c:ext xmlns:c16="http://schemas.microsoft.com/office/drawing/2014/chart" uri="{C3380CC4-5D6E-409C-BE32-E72D297353CC}">
              <c16:uniqueId val="{00000001-7023-4CAB-AADC-66635A85C14B}"/>
            </c:ext>
          </c:extLst>
        </c:ser>
        <c:ser>
          <c:idx val="2"/>
          <c:order val="2"/>
          <c:tx>
            <c:strRef>
              <c:f>'4.COVID | Y-O-Y Impact'!$U$31:$V$31</c:f>
              <c:strCache>
                <c:ptCount val="2"/>
                <c:pt idx="0">
                  <c:v>urban</c:v>
                </c:pt>
                <c:pt idx="1">
                  <c:v>Health</c:v>
                </c:pt>
              </c:strCache>
            </c:strRef>
          </c:tx>
          <c:spPr>
            <a:ln w="28575" cap="rnd">
              <a:solidFill>
                <a:schemeClr val="accent3"/>
              </a:solidFill>
              <a:round/>
            </a:ln>
            <a:effectLst/>
          </c:spPr>
          <c:marker>
            <c:symbol val="none"/>
          </c:marker>
          <c:cat>
            <c:strRef>
              <c:f>'4.COVID | Y-O-Y Impact'!$W$28:$Z$28</c:f>
              <c:strCache>
                <c:ptCount val="4"/>
                <c:pt idx="0">
                  <c:v>2018-2019</c:v>
                </c:pt>
                <c:pt idx="1">
                  <c:v>2019-2020</c:v>
                </c:pt>
                <c:pt idx="2">
                  <c:v>2020-2021</c:v>
                </c:pt>
                <c:pt idx="3">
                  <c:v>2021-2022</c:v>
                </c:pt>
              </c:strCache>
            </c:strRef>
          </c:cat>
          <c:val>
            <c:numRef>
              <c:f>'4.COVID | Y-O-Y Impact'!$W$31:$Z$31</c:f>
              <c:numCache>
                <c:formatCode>0.0%</c:formatCode>
                <c:ptCount val="4"/>
                <c:pt idx="0">
                  <c:v>6.0167555217059993E-2</c:v>
                </c:pt>
                <c:pt idx="1">
                  <c:v>3.9426523297491037E-2</c:v>
                </c:pt>
                <c:pt idx="2">
                  <c:v>8.3563535911602163E-2</c:v>
                </c:pt>
                <c:pt idx="3">
                  <c:v>6.7936507936507864E-2</c:v>
                </c:pt>
              </c:numCache>
            </c:numRef>
          </c:val>
          <c:smooth val="0"/>
          <c:extLst>
            <c:ext xmlns:c16="http://schemas.microsoft.com/office/drawing/2014/chart" uri="{C3380CC4-5D6E-409C-BE32-E72D297353CC}">
              <c16:uniqueId val="{00000002-7023-4CAB-AADC-66635A85C14B}"/>
            </c:ext>
          </c:extLst>
        </c:ser>
        <c:dLbls>
          <c:showLegendKey val="0"/>
          <c:showVal val="0"/>
          <c:showCatName val="0"/>
          <c:showSerName val="0"/>
          <c:showPercent val="0"/>
          <c:showBubbleSize val="0"/>
        </c:dLbls>
        <c:smooth val="0"/>
        <c:axId val="1536231872"/>
        <c:axId val="1536235232"/>
      </c:lineChart>
      <c:catAx>
        <c:axId val="15362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35232"/>
        <c:crosses val="autoZero"/>
        <c:auto val="1"/>
        <c:lblAlgn val="ctr"/>
        <c:lblOffset val="100"/>
        <c:noMultiLvlLbl val="0"/>
      </c:catAx>
      <c:valAx>
        <c:axId val="1536235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31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912974949318302E-2"/>
          <c:y val="0.13871457953850042"/>
          <c:w val="0.91310928529883584"/>
          <c:h val="0.82068847788890809"/>
        </c:manualLayout>
      </c:layout>
      <c:barChart>
        <c:barDir val="col"/>
        <c:grouping val="clustered"/>
        <c:varyColors val="0"/>
        <c:ser>
          <c:idx val="0"/>
          <c:order val="0"/>
          <c:tx>
            <c:strRef>
              <c:f>' 4.COVID | halfyearly IMP'!$E$26</c:f>
              <c:strCache>
                <c:ptCount val="1"/>
                <c:pt idx="0">
                  <c:v>food</c:v>
                </c:pt>
              </c:strCache>
            </c:strRef>
          </c:tx>
          <c:spPr>
            <a:solidFill>
              <a:schemeClr val="accent1"/>
            </a:solidFill>
            <a:ln>
              <a:noFill/>
            </a:ln>
            <a:effectLst/>
          </c:spPr>
          <c:invertIfNegative val="0"/>
          <c:cat>
            <c:strRef>
              <c:f>' 4.COVID | halfyearly IMP'!$F$25:$M$25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IMP'!$F$26:$M$26</c:f>
              <c:numCache>
                <c:formatCode>0.0%</c:formatCode>
                <c:ptCount val="8"/>
                <c:pt idx="0" formatCode="General">
                  <c:v>1.2748278413294685E-2</c:v>
                </c:pt>
                <c:pt idx="1">
                  <c:v>-7.4878955072626699E-3</c:v>
                </c:pt>
                <c:pt idx="2">
                  <c:v>4.517835039945986E-2</c:v>
                </c:pt>
                <c:pt idx="3">
                  <c:v>5.1972846839204558E-3</c:v>
                </c:pt>
                <c:pt idx="4">
                  <c:v>2.4711528642908247E-2</c:v>
                </c:pt>
                <c:pt idx="5">
                  <c:v>-4.4908718148982223E-3</c:v>
                </c:pt>
                <c:pt idx="6">
                  <c:v>3.7740419553316258E-2</c:v>
                </c:pt>
                <c:pt idx="7">
                  <c:v>3.9990806711102155E-3</c:v>
                </c:pt>
              </c:numCache>
            </c:numRef>
          </c:val>
          <c:extLst>
            <c:ext xmlns:c16="http://schemas.microsoft.com/office/drawing/2014/chart" uri="{C3380CC4-5D6E-409C-BE32-E72D297353CC}">
              <c16:uniqueId val="{00000000-F072-4D6C-AFE6-18751ADD5C98}"/>
            </c:ext>
          </c:extLst>
        </c:ser>
        <c:ser>
          <c:idx val="1"/>
          <c:order val="1"/>
          <c:tx>
            <c:strRef>
              <c:f>' 4.COVID | halfyearly IMP'!$E$27</c:f>
              <c:strCache>
                <c:ptCount val="1"/>
                <c:pt idx="0">
                  <c:v>Essentials</c:v>
                </c:pt>
              </c:strCache>
            </c:strRef>
          </c:tx>
          <c:spPr>
            <a:solidFill>
              <a:schemeClr val="accent2"/>
            </a:solidFill>
            <a:ln>
              <a:noFill/>
            </a:ln>
            <a:effectLst/>
          </c:spPr>
          <c:invertIfNegative val="0"/>
          <c:cat>
            <c:strRef>
              <c:f>' 4.COVID | halfyearly IMP'!$F$25:$M$25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IMP'!$F$27:$M$27</c:f>
              <c:numCache>
                <c:formatCode>General</c:formatCode>
                <c:ptCount val="8"/>
                <c:pt idx="0">
                  <c:v>2.350210358334549E-2</c:v>
                </c:pt>
                <c:pt idx="1">
                  <c:v>2.9690371836563504E-3</c:v>
                </c:pt>
                <c:pt idx="2">
                  <c:v>1.1251758087201125E-2</c:v>
                </c:pt>
                <c:pt idx="3">
                  <c:v>1.2220524927093553E-2</c:v>
                </c:pt>
                <c:pt idx="4">
                  <c:v>1.9522184300341389E-2</c:v>
                </c:pt>
                <c:pt idx="5">
                  <c:v>2.5076697345605001E-2</c:v>
                </c:pt>
                <c:pt idx="6">
                  <c:v>3.8107582631237966E-2</c:v>
                </c:pt>
                <c:pt idx="7">
                  <c:v>3.2013897505893979E-2</c:v>
                </c:pt>
              </c:numCache>
            </c:numRef>
          </c:val>
          <c:extLst>
            <c:ext xmlns:c16="http://schemas.microsoft.com/office/drawing/2014/chart" uri="{C3380CC4-5D6E-409C-BE32-E72D297353CC}">
              <c16:uniqueId val="{00000001-F072-4D6C-AFE6-18751ADD5C98}"/>
            </c:ext>
          </c:extLst>
        </c:ser>
        <c:ser>
          <c:idx val="2"/>
          <c:order val="2"/>
          <c:tx>
            <c:strRef>
              <c:f>' 4.COVID | halfyearly IMP'!$E$28</c:f>
              <c:strCache>
                <c:ptCount val="1"/>
                <c:pt idx="0">
                  <c:v>Health</c:v>
                </c:pt>
              </c:strCache>
            </c:strRef>
          </c:tx>
          <c:spPr>
            <a:solidFill>
              <a:schemeClr val="accent3"/>
            </a:solidFill>
            <a:ln>
              <a:noFill/>
            </a:ln>
            <a:effectLst/>
          </c:spPr>
          <c:invertIfNegative val="0"/>
          <c:cat>
            <c:strRef>
              <c:f>' 4.COVID | halfyearly IMP'!$F$25:$M$25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IMP'!$F$28:$M$28</c:f>
              <c:numCache>
                <c:formatCode>General</c:formatCode>
                <c:ptCount val="8"/>
                <c:pt idx="0">
                  <c:v>2.3668639053254566E-2</c:v>
                </c:pt>
                <c:pt idx="1">
                  <c:v>2.8852920478536204E-2</c:v>
                </c:pt>
                <c:pt idx="2">
                  <c:v>1.6717843739338031E-2</c:v>
                </c:pt>
                <c:pt idx="3">
                  <c:v>1.941097724230258E-2</c:v>
                </c:pt>
                <c:pt idx="4">
                  <c:v>3.2514930325149342E-2</c:v>
                </c:pt>
                <c:pt idx="5">
                  <c:v>3.4548944337811749E-2</c:v>
                </c:pt>
                <c:pt idx="6">
                  <c:v>3.7584719654959915E-2</c:v>
                </c:pt>
                <c:pt idx="7">
                  <c:v>2.3063276167947993E-2</c:v>
                </c:pt>
              </c:numCache>
            </c:numRef>
          </c:val>
          <c:extLst>
            <c:ext xmlns:c16="http://schemas.microsoft.com/office/drawing/2014/chart" uri="{C3380CC4-5D6E-409C-BE32-E72D297353CC}">
              <c16:uniqueId val="{00000002-F072-4D6C-AFE6-18751ADD5C98}"/>
            </c:ext>
          </c:extLst>
        </c:ser>
        <c:dLbls>
          <c:showLegendKey val="0"/>
          <c:showVal val="0"/>
          <c:showCatName val="0"/>
          <c:showSerName val="0"/>
          <c:showPercent val="0"/>
          <c:showBubbleSize val="0"/>
        </c:dLbls>
        <c:gapWidth val="219"/>
        <c:overlap val="-27"/>
        <c:axId val="866938496"/>
        <c:axId val="866938016"/>
      </c:barChart>
      <c:catAx>
        <c:axId val="86693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38016"/>
        <c:crosses val="autoZero"/>
        <c:auto val="1"/>
        <c:lblAlgn val="ctr"/>
        <c:lblOffset val="100"/>
        <c:noMultiLvlLbl val="0"/>
      </c:catAx>
      <c:valAx>
        <c:axId val="86693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38496"/>
        <c:crosses val="autoZero"/>
        <c:crossBetween val="between"/>
      </c:valAx>
      <c:spPr>
        <a:noFill/>
        <a:ln>
          <a:noFill/>
        </a:ln>
        <a:effectLst/>
      </c:spPr>
    </c:plotArea>
    <c:legend>
      <c:legendPos val="r"/>
      <c:layout>
        <c:manualLayout>
          <c:xMode val="edge"/>
          <c:yMode val="edge"/>
          <c:x val="0.67626533469594452"/>
          <c:y val="0.84380360095140072"/>
          <c:w val="0.29505695027699352"/>
          <c:h val="0.11251848716009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675658856733326E-2"/>
          <c:y val="0.13597499618683775"/>
          <c:w val="0.93481027796249039"/>
          <c:h val="0.82640870675264078"/>
        </c:manualLayout>
      </c:layout>
      <c:barChart>
        <c:barDir val="col"/>
        <c:grouping val="clustered"/>
        <c:varyColors val="0"/>
        <c:ser>
          <c:idx val="0"/>
          <c:order val="0"/>
          <c:tx>
            <c:strRef>
              <c:f>' 4.COVID | halfyearly IMP'!$P$26:$Q$26</c:f>
              <c:strCache>
                <c:ptCount val="2"/>
                <c:pt idx="0">
                  <c:v>Rural</c:v>
                </c:pt>
                <c:pt idx="1">
                  <c:v>food</c:v>
                </c:pt>
              </c:strCache>
            </c:strRef>
          </c:tx>
          <c:spPr>
            <a:solidFill>
              <a:schemeClr val="accent1"/>
            </a:solidFill>
            <a:ln>
              <a:noFill/>
            </a:ln>
            <a:effectLst/>
          </c:spPr>
          <c:invertIfNegative val="0"/>
          <c:cat>
            <c:strRef>
              <c:f>' 4.COVID | halfyearly IMP'!$R$25:$Y$25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IMP'!$R$26:$Y$26</c:f>
              <c:numCache>
                <c:formatCode>General</c:formatCode>
                <c:ptCount val="8"/>
                <c:pt idx="0">
                  <c:v>1.112359550561808E-2</c:v>
                </c:pt>
                <c:pt idx="1">
                  <c:v>-1.1783189316574893E-2</c:v>
                </c:pt>
                <c:pt idx="2">
                  <c:v>4.3490531425507135E-2</c:v>
                </c:pt>
                <c:pt idx="3">
                  <c:v>9.4304438169322009E-3</c:v>
                </c:pt>
                <c:pt idx="4">
                  <c:v>1.9162065605716087E-2</c:v>
                </c:pt>
                <c:pt idx="5">
                  <c:v>-2.5604411837116771E-3</c:v>
                </c:pt>
                <c:pt idx="6">
                  <c:v>4.1034398633813078E-2</c:v>
                </c:pt>
                <c:pt idx="7">
                  <c:v>6.8847611126515787E-3</c:v>
                </c:pt>
              </c:numCache>
            </c:numRef>
          </c:val>
          <c:extLst>
            <c:ext xmlns:c16="http://schemas.microsoft.com/office/drawing/2014/chart" uri="{C3380CC4-5D6E-409C-BE32-E72D297353CC}">
              <c16:uniqueId val="{00000000-B077-45E5-8ABF-63EF4FE89C24}"/>
            </c:ext>
          </c:extLst>
        </c:ser>
        <c:ser>
          <c:idx val="1"/>
          <c:order val="1"/>
          <c:tx>
            <c:strRef>
              <c:f>' 4.COVID | halfyearly IMP'!$P$27:$Q$27</c:f>
              <c:strCache>
                <c:ptCount val="2"/>
                <c:pt idx="0">
                  <c:v>Rural</c:v>
                </c:pt>
                <c:pt idx="1">
                  <c:v>Essentials</c:v>
                </c:pt>
              </c:strCache>
            </c:strRef>
          </c:tx>
          <c:spPr>
            <a:solidFill>
              <a:schemeClr val="accent2"/>
            </a:solidFill>
            <a:ln>
              <a:noFill/>
            </a:ln>
            <a:effectLst/>
          </c:spPr>
          <c:invertIfNegative val="0"/>
          <c:cat>
            <c:strRef>
              <c:f>' 4.COVID | halfyearly IMP'!$R$25:$Y$25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IMP'!$R$27:$Y$27</c:f>
              <c:numCache>
                <c:formatCode>General</c:formatCode>
                <c:ptCount val="8"/>
                <c:pt idx="0">
                  <c:v>2.1784961349262121E-2</c:v>
                </c:pt>
                <c:pt idx="1">
                  <c:v>1.1881735285990637E-2</c:v>
                </c:pt>
                <c:pt idx="2">
                  <c:v>9.741808025069798E-3</c:v>
                </c:pt>
                <c:pt idx="3">
                  <c:v>1.1728228633054795E-2</c:v>
                </c:pt>
                <c:pt idx="4">
                  <c:v>1.4935925762262462E-2</c:v>
                </c:pt>
                <c:pt idx="5">
                  <c:v>2.3110880290833639E-2</c:v>
                </c:pt>
                <c:pt idx="6">
                  <c:v>4.194567277321562E-2</c:v>
                </c:pt>
                <c:pt idx="7">
                  <c:v>3.1065623118603333E-2</c:v>
                </c:pt>
              </c:numCache>
            </c:numRef>
          </c:val>
          <c:extLst>
            <c:ext xmlns:c16="http://schemas.microsoft.com/office/drawing/2014/chart" uri="{C3380CC4-5D6E-409C-BE32-E72D297353CC}">
              <c16:uniqueId val="{00000001-B077-45E5-8ABF-63EF4FE89C24}"/>
            </c:ext>
          </c:extLst>
        </c:ser>
        <c:ser>
          <c:idx val="2"/>
          <c:order val="2"/>
          <c:tx>
            <c:strRef>
              <c:f>' 4.COVID | halfyearly IMP'!$P$28:$Q$28</c:f>
              <c:strCache>
                <c:ptCount val="2"/>
                <c:pt idx="0">
                  <c:v>Rural</c:v>
                </c:pt>
                <c:pt idx="1">
                  <c:v>Health</c:v>
                </c:pt>
              </c:strCache>
            </c:strRef>
          </c:tx>
          <c:spPr>
            <a:solidFill>
              <a:schemeClr val="accent3"/>
            </a:solidFill>
            <a:ln>
              <a:noFill/>
            </a:ln>
            <a:effectLst/>
          </c:spPr>
          <c:invertIfNegative val="0"/>
          <c:cat>
            <c:strRef>
              <c:f>' 4.COVID | halfyearly IMP'!$R$25:$Y$25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IMP'!$R$28:$Y$28</c:f>
              <c:numCache>
                <c:formatCode>General</c:formatCode>
                <c:ptCount val="8"/>
                <c:pt idx="0">
                  <c:v>1.744186046511632E-2</c:v>
                </c:pt>
                <c:pt idx="1">
                  <c:v>3.8674033149171227E-2</c:v>
                </c:pt>
                <c:pt idx="2">
                  <c:v>1.6904209479615396E-2</c:v>
                </c:pt>
                <c:pt idx="3">
                  <c:v>1.9518542615484712E-2</c:v>
                </c:pt>
                <c:pt idx="4">
                  <c:v>3.1108230719377721E-2</c:v>
                </c:pt>
                <c:pt idx="5">
                  <c:v>3.1974921630094008E-2</c:v>
                </c:pt>
                <c:pt idx="6">
                  <c:v>3.992740471869325E-2</c:v>
                </c:pt>
                <c:pt idx="7">
                  <c:v>2.0289855072463767E-2</c:v>
                </c:pt>
              </c:numCache>
            </c:numRef>
          </c:val>
          <c:extLst>
            <c:ext xmlns:c16="http://schemas.microsoft.com/office/drawing/2014/chart" uri="{C3380CC4-5D6E-409C-BE32-E72D297353CC}">
              <c16:uniqueId val="{00000002-B077-45E5-8ABF-63EF4FE89C24}"/>
            </c:ext>
          </c:extLst>
        </c:ser>
        <c:dLbls>
          <c:showLegendKey val="0"/>
          <c:showVal val="0"/>
          <c:showCatName val="0"/>
          <c:showSerName val="0"/>
          <c:showPercent val="0"/>
          <c:showBubbleSize val="0"/>
        </c:dLbls>
        <c:gapWidth val="219"/>
        <c:overlap val="-27"/>
        <c:axId val="1382059824"/>
        <c:axId val="1382063664"/>
      </c:barChart>
      <c:catAx>
        <c:axId val="13820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63664"/>
        <c:crosses val="autoZero"/>
        <c:auto val="1"/>
        <c:lblAlgn val="ctr"/>
        <c:lblOffset val="100"/>
        <c:noMultiLvlLbl val="0"/>
      </c:catAx>
      <c:valAx>
        <c:axId val="13820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59824"/>
        <c:crosses val="autoZero"/>
        <c:crossBetween val="between"/>
      </c:valAx>
      <c:spPr>
        <a:noFill/>
        <a:ln>
          <a:noFill/>
        </a:ln>
        <a:effectLst/>
      </c:spPr>
    </c:plotArea>
    <c:legend>
      <c:legendPos val="b"/>
      <c:layout>
        <c:manualLayout>
          <c:xMode val="edge"/>
          <c:yMode val="edge"/>
          <c:x val="0.71151717727084873"/>
          <c:y val="0.84734292360458885"/>
          <c:w val="0.25059823195876957"/>
          <c:h val="9.33437545141434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159399763358385E-2"/>
          <c:y val="0.11106508333337506"/>
          <c:w val="0.93784787813913495"/>
          <c:h val="0.83955451344659504"/>
        </c:manualLayout>
      </c:layout>
      <c:barChart>
        <c:barDir val="col"/>
        <c:grouping val="clustered"/>
        <c:varyColors val="0"/>
        <c:ser>
          <c:idx val="0"/>
          <c:order val="0"/>
          <c:tx>
            <c:strRef>
              <c:f>' 4.COVID | halfyearly IMP'!$AC$26:$AD$26</c:f>
              <c:strCache>
                <c:ptCount val="2"/>
                <c:pt idx="0">
                  <c:v>urban</c:v>
                </c:pt>
                <c:pt idx="1">
                  <c:v>food</c:v>
                </c:pt>
              </c:strCache>
            </c:strRef>
          </c:tx>
          <c:spPr>
            <a:solidFill>
              <a:schemeClr val="accent1"/>
            </a:solidFill>
            <a:ln>
              <a:noFill/>
            </a:ln>
            <a:effectLst/>
          </c:spPr>
          <c:invertIfNegative val="0"/>
          <c:cat>
            <c:strRef>
              <c:f>' 4.COVID | halfyearly IMP'!$AE$25:$AL$25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IMP'!$AE$26:$AL$26</c:f>
              <c:numCache>
                <c:formatCode>General</c:formatCode>
                <c:ptCount val="8"/>
                <c:pt idx="0">
                  <c:v>1.6511627906976661E-2</c:v>
                </c:pt>
                <c:pt idx="1">
                  <c:v>8.1523288295993288E-3</c:v>
                </c:pt>
                <c:pt idx="2">
                  <c:v>4.7459426240956476E-2</c:v>
                </c:pt>
                <c:pt idx="3">
                  <c:v>-2.1549458635552066E-3</c:v>
                </c:pt>
                <c:pt idx="4">
                  <c:v>3.4245187436676865E-2</c:v>
                </c:pt>
                <c:pt idx="5">
                  <c:v>-7.5473512162293407E-3</c:v>
                </c:pt>
                <c:pt idx="6">
                  <c:v>3.2685681470137916E-2</c:v>
                </c:pt>
                <c:pt idx="7">
                  <c:v>-9.5524017467265437E-4</c:v>
                </c:pt>
              </c:numCache>
            </c:numRef>
          </c:val>
          <c:extLst>
            <c:ext xmlns:c16="http://schemas.microsoft.com/office/drawing/2014/chart" uri="{C3380CC4-5D6E-409C-BE32-E72D297353CC}">
              <c16:uniqueId val="{00000000-A4F9-49F8-8C95-FFC1E05A4686}"/>
            </c:ext>
          </c:extLst>
        </c:ser>
        <c:ser>
          <c:idx val="1"/>
          <c:order val="1"/>
          <c:tx>
            <c:strRef>
              <c:f>' 4.COVID | halfyearly IMP'!$AC$27:$AD$27</c:f>
              <c:strCache>
                <c:ptCount val="2"/>
                <c:pt idx="0">
                  <c:v>urban</c:v>
                </c:pt>
                <c:pt idx="1">
                  <c:v>Essentials</c:v>
                </c:pt>
              </c:strCache>
            </c:strRef>
          </c:tx>
          <c:spPr>
            <a:solidFill>
              <a:schemeClr val="accent2"/>
            </a:solidFill>
            <a:ln>
              <a:noFill/>
            </a:ln>
            <a:effectLst/>
          </c:spPr>
          <c:invertIfNegative val="0"/>
          <c:cat>
            <c:strRef>
              <c:f>' 4.COVID | halfyearly IMP'!$AE$25:$AL$25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IMP'!$AE$27:$AL$27</c:f>
              <c:numCache>
                <c:formatCode>General</c:formatCode>
                <c:ptCount val="8"/>
                <c:pt idx="0">
                  <c:v>2.5606060606060743E-2</c:v>
                </c:pt>
                <c:pt idx="1">
                  <c:v>4.5601647543393785E-3</c:v>
                </c:pt>
                <c:pt idx="2">
                  <c:v>1.3368397983782733E-2</c:v>
                </c:pt>
                <c:pt idx="3">
                  <c:v>1.2654587287891794E-2</c:v>
                </c:pt>
                <c:pt idx="4">
                  <c:v>2.388017521548692E-2</c:v>
                </c:pt>
                <c:pt idx="5">
                  <c:v>2.7134986225895222E-2</c:v>
                </c:pt>
                <c:pt idx="6">
                  <c:v>3.1137244420686674E-2</c:v>
                </c:pt>
                <c:pt idx="7">
                  <c:v>3.2860824742268042E-2</c:v>
                </c:pt>
              </c:numCache>
            </c:numRef>
          </c:val>
          <c:extLst>
            <c:ext xmlns:c16="http://schemas.microsoft.com/office/drawing/2014/chart" uri="{C3380CC4-5D6E-409C-BE32-E72D297353CC}">
              <c16:uniqueId val="{00000001-A4F9-49F8-8C95-FFC1E05A4686}"/>
            </c:ext>
          </c:extLst>
        </c:ser>
        <c:ser>
          <c:idx val="2"/>
          <c:order val="2"/>
          <c:tx>
            <c:strRef>
              <c:f>' 4.COVID | halfyearly IMP'!$AC$28:$AD$28</c:f>
              <c:strCache>
                <c:ptCount val="2"/>
                <c:pt idx="0">
                  <c:v>urban</c:v>
                </c:pt>
                <c:pt idx="1">
                  <c:v>Health</c:v>
                </c:pt>
              </c:strCache>
            </c:strRef>
          </c:tx>
          <c:spPr>
            <a:solidFill>
              <a:schemeClr val="accent3"/>
            </a:solidFill>
            <a:ln>
              <a:noFill/>
            </a:ln>
            <a:effectLst/>
          </c:spPr>
          <c:invertIfNegative val="0"/>
          <c:cat>
            <c:strRef>
              <c:f>' 4.COVID | halfyearly IMP'!$AE$25:$AL$25</c:f>
              <c:strCache>
                <c:ptCount val="8"/>
                <c:pt idx="0">
                  <c:v>Apr 2018 – Sep 2018</c:v>
                </c:pt>
                <c:pt idx="1">
                  <c:v>Oct 2018 – Mar 2019</c:v>
                </c:pt>
                <c:pt idx="2">
                  <c:v>Apr 2019 – Sep 2019</c:v>
                </c:pt>
                <c:pt idx="3">
                  <c:v>Oct 2019 – Mar 2020</c:v>
                </c:pt>
                <c:pt idx="4">
                  <c:v>Apr 2020 – Sep 2020</c:v>
                </c:pt>
                <c:pt idx="5">
                  <c:v>Oct 2020 – Mar 2021	</c:v>
                </c:pt>
                <c:pt idx="6">
                  <c:v>Apr 2021 – Sep 2021</c:v>
                </c:pt>
                <c:pt idx="7">
                  <c:v>Oct 2021 – Mar 2022</c:v>
                </c:pt>
              </c:strCache>
            </c:strRef>
          </c:cat>
          <c:val>
            <c:numRef>
              <c:f>' 4.COVID | halfyearly IMP'!$AE$28:$AL$28</c:f>
              <c:numCache>
                <c:formatCode>General</c:formatCode>
                <c:ptCount val="8"/>
                <c:pt idx="0">
                  <c:v>3.3511043412033335E-2</c:v>
                </c:pt>
                <c:pt idx="1">
                  <c:v>2.2026431718061675E-2</c:v>
                </c:pt>
                <c:pt idx="2">
                  <c:v>1.7204301075268859E-2</c:v>
                </c:pt>
                <c:pt idx="3">
                  <c:v>1.8258426966292093E-2</c:v>
                </c:pt>
                <c:pt idx="4">
                  <c:v>3.5911602209944667E-2</c:v>
                </c:pt>
                <c:pt idx="5">
                  <c:v>3.9072847682119244E-2</c:v>
                </c:pt>
                <c:pt idx="6">
                  <c:v>3.3650793650793723E-2</c:v>
                </c:pt>
                <c:pt idx="7">
                  <c:v>2.8746177370030511E-2</c:v>
                </c:pt>
              </c:numCache>
            </c:numRef>
          </c:val>
          <c:extLst>
            <c:ext xmlns:c16="http://schemas.microsoft.com/office/drawing/2014/chart" uri="{C3380CC4-5D6E-409C-BE32-E72D297353CC}">
              <c16:uniqueId val="{00000002-A4F9-49F8-8C95-FFC1E05A4686}"/>
            </c:ext>
          </c:extLst>
        </c:ser>
        <c:dLbls>
          <c:showLegendKey val="0"/>
          <c:showVal val="0"/>
          <c:showCatName val="0"/>
          <c:showSerName val="0"/>
          <c:showPercent val="0"/>
          <c:showBubbleSize val="0"/>
        </c:dLbls>
        <c:gapWidth val="219"/>
        <c:overlap val="-27"/>
        <c:axId val="867949504"/>
        <c:axId val="1312391600"/>
      </c:barChart>
      <c:catAx>
        <c:axId val="86794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391600"/>
        <c:crosses val="autoZero"/>
        <c:auto val="1"/>
        <c:lblAlgn val="ctr"/>
        <c:lblOffset val="100"/>
        <c:noMultiLvlLbl val="0"/>
      </c:catAx>
      <c:valAx>
        <c:axId val="13123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49504"/>
        <c:crosses val="autoZero"/>
        <c:crossBetween val="between"/>
      </c:valAx>
      <c:spPr>
        <a:noFill/>
        <a:ln>
          <a:noFill/>
        </a:ln>
        <a:effectLst/>
      </c:spPr>
    </c:plotArea>
    <c:legend>
      <c:legendPos val="b"/>
      <c:layout>
        <c:manualLayout>
          <c:xMode val="edge"/>
          <c:yMode val="edge"/>
          <c:x val="0.7072178453564586"/>
          <c:y val="0.86424164901476752"/>
          <c:w val="0.24988311623636095"/>
          <c:h val="3.5783786545540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12661</xdr:colOff>
      <xdr:row>27</xdr:row>
      <xdr:rowOff>152398</xdr:rowOff>
    </xdr:from>
    <xdr:to>
      <xdr:col>18</xdr:col>
      <xdr:colOff>203200</xdr:colOff>
      <xdr:row>53</xdr:row>
      <xdr:rowOff>88603</xdr:rowOff>
    </xdr:to>
    <xdr:graphicFrame macro="">
      <xdr:nvGraphicFramePr>
        <xdr:cNvPr id="2" name="Chart 1">
          <a:extLst>
            <a:ext uri="{FF2B5EF4-FFF2-40B4-BE49-F238E27FC236}">
              <a16:creationId xmlns:a16="http://schemas.microsoft.com/office/drawing/2014/main" id="{C82460EF-E862-DB27-A08F-AED8ACC5D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1294520</xdr:colOff>
      <xdr:row>7</xdr:row>
      <xdr:rowOff>2137</xdr:rowOff>
    </xdr:from>
    <xdr:to>
      <xdr:col>14</xdr:col>
      <xdr:colOff>195530</xdr:colOff>
      <xdr:row>21</xdr:row>
      <xdr:rowOff>92169</xdr:rowOff>
    </xdr:to>
    <xdr:graphicFrame macro="">
      <xdr:nvGraphicFramePr>
        <xdr:cNvPr id="4" name="Chart 3">
          <a:extLst>
            <a:ext uri="{FF2B5EF4-FFF2-40B4-BE49-F238E27FC236}">
              <a16:creationId xmlns:a16="http://schemas.microsoft.com/office/drawing/2014/main" id="{3AE85265-81D2-FDB7-FB32-DB8D52F99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606842</xdr:colOff>
      <xdr:row>43</xdr:row>
      <xdr:rowOff>156051</xdr:rowOff>
    </xdr:from>
    <xdr:to>
      <xdr:col>24</xdr:col>
      <xdr:colOff>895478</xdr:colOff>
      <xdr:row>62</xdr:row>
      <xdr:rowOff>177427</xdr:rowOff>
    </xdr:to>
    <xdr:graphicFrame macro="">
      <xdr:nvGraphicFramePr>
        <xdr:cNvPr id="2" name="Chart 1">
          <a:extLst>
            <a:ext uri="{FF2B5EF4-FFF2-40B4-BE49-F238E27FC236}">
              <a16:creationId xmlns:a16="http://schemas.microsoft.com/office/drawing/2014/main" id="{C7B8B828-B8CE-C713-F15A-529DD9705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1076</xdr:colOff>
      <xdr:row>47</xdr:row>
      <xdr:rowOff>178229</xdr:rowOff>
    </xdr:from>
    <xdr:to>
      <xdr:col>13</xdr:col>
      <xdr:colOff>107627</xdr:colOff>
      <xdr:row>69</xdr:row>
      <xdr:rowOff>129152</xdr:rowOff>
    </xdr:to>
    <xdr:graphicFrame macro="">
      <xdr:nvGraphicFramePr>
        <xdr:cNvPr id="3" name="Chart 2">
          <a:extLst>
            <a:ext uri="{FF2B5EF4-FFF2-40B4-BE49-F238E27FC236}">
              <a16:creationId xmlns:a16="http://schemas.microsoft.com/office/drawing/2014/main" id="{93CA849D-AACC-9AAC-0198-AF395FEAD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4143</xdr:colOff>
      <xdr:row>32</xdr:row>
      <xdr:rowOff>174321</xdr:rowOff>
    </xdr:from>
    <xdr:to>
      <xdr:col>8</xdr:col>
      <xdr:colOff>1024911</xdr:colOff>
      <xdr:row>51</xdr:row>
      <xdr:rowOff>122544</xdr:rowOff>
    </xdr:to>
    <xdr:graphicFrame macro="">
      <xdr:nvGraphicFramePr>
        <xdr:cNvPr id="6" name="Chart 5">
          <a:extLst>
            <a:ext uri="{FF2B5EF4-FFF2-40B4-BE49-F238E27FC236}">
              <a16:creationId xmlns:a16="http://schemas.microsoft.com/office/drawing/2014/main" id="{9F7F7C71-7299-589D-CE93-CF75FC353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1055584</xdr:colOff>
      <xdr:row>33</xdr:row>
      <xdr:rowOff>11340</xdr:rowOff>
    </xdr:from>
    <xdr:to>
      <xdr:col>18</xdr:col>
      <xdr:colOff>7299</xdr:colOff>
      <xdr:row>50</xdr:row>
      <xdr:rowOff>164935</xdr:rowOff>
    </xdr:to>
    <xdr:graphicFrame macro="">
      <xdr:nvGraphicFramePr>
        <xdr:cNvPr id="7" name="Chart 6">
          <a:extLst>
            <a:ext uri="{FF2B5EF4-FFF2-40B4-BE49-F238E27FC236}">
              <a16:creationId xmlns:a16="http://schemas.microsoft.com/office/drawing/2014/main" id="{1ADCF2C0-B927-EC35-5C1E-C86F8C9F0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32987</xdr:colOff>
      <xdr:row>33</xdr:row>
      <xdr:rowOff>36987</xdr:rowOff>
    </xdr:from>
    <xdr:to>
      <xdr:col>25</xdr:col>
      <xdr:colOff>972111</xdr:colOff>
      <xdr:row>51</xdr:row>
      <xdr:rowOff>8246</xdr:rowOff>
    </xdr:to>
    <xdr:graphicFrame macro="">
      <xdr:nvGraphicFramePr>
        <xdr:cNvPr id="8" name="Chart 7">
          <a:extLst>
            <a:ext uri="{FF2B5EF4-FFF2-40B4-BE49-F238E27FC236}">
              <a16:creationId xmlns:a16="http://schemas.microsoft.com/office/drawing/2014/main" id="{8536CFA6-1E0E-DCA2-4117-AB49502B3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947219</xdr:colOff>
      <xdr:row>35</xdr:row>
      <xdr:rowOff>112560</xdr:rowOff>
    </xdr:from>
    <xdr:to>
      <xdr:col>7</xdr:col>
      <xdr:colOff>411181</xdr:colOff>
      <xdr:row>36</xdr:row>
      <xdr:rowOff>87820</xdr:rowOff>
    </xdr:to>
    <xdr:sp macro="" textlink="">
      <xdr:nvSpPr>
        <xdr:cNvPr id="10" name="Arrow: Striped Right 9">
          <a:extLst>
            <a:ext uri="{FF2B5EF4-FFF2-40B4-BE49-F238E27FC236}">
              <a16:creationId xmlns:a16="http://schemas.microsoft.com/office/drawing/2014/main" id="{D4DAD067-664F-7575-6E40-7BFC02011F59}"/>
            </a:ext>
          </a:extLst>
        </xdr:cNvPr>
        <xdr:cNvSpPr/>
      </xdr:nvSpPr>
      <xdr:spPr>
        <a:xfrm>
          <a:off x="6662219" y="6596244"/>
          <a:ext cx="544576" cy="164646"/>
        </a:xfrm>
        <a:prstGeom prst="strip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0.52487</cdr:x>
      <cdr:y>0.11479</cdr:y>
    </cdr:from>
    <cdr:to>
      <cdr:x>0.52588</cdr:x>
      <cdr:y>0.8046</cdr:y>
    </cdr:to>
    <cdr:cxnSp macro="">
      <cdr:nvCxnSpPr>
        <cdr:cNvPr id="3" name="Straight Connector 2">
          <a:extLst xmlns:a="http://schemas.openxmlformats.org/drawingml/2006/main">
            <a:ext uri="{FF2B5EF4-FFF2-40B4-BE49-F238E27FC236}">
              <a16:creationId xmlns:a16="http://schemas.microsoft.com/office/drawing/2014/main" id="{099421CB-B69E-66CA-214C-B7F4B777F170}"/>
            </a:ext>
          </a:extLst>
        </cdr:cNvPr>
        <cdr:cNvCxnSpPr/>
      </cdr:nvCxnSpPr>
      <cdr:spPr>
        <a:xfrm xmlns:a="http://schemas.openxmlformats.org/drawingml/2006/main" flipV="1">
          <a:off x="3019388" y="344166"/>
          <a:ext cx="5826" cy="2068119"/>
        </a:xfrm>
        <a:prstGeom xmlns:a="http://schemas.openxmlformats.org/drawingml/2006/main" prst="line">
          <a:avLst/>
        </a:prstGeom>
        <a:ln xmlns:a="http://schemas.openxmlformats.org/drawingml/2006/main" w="19050"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0.31539</cdr:x>
      <cdr:y>0.14869</cdr:y>
    </cdr:from>
    <cdr:to>
      <cdr:x>0.39995</cdr:x>
      <cdr:y>0.19645</cdr:y>
    </cdr:to>
    <cdr:sp macro="" textlink="">
      <cdr:nvSpPr>
        <cdr:cNvPr id="9" name="Arrow: Striped Right 8">
          <a:extLst xmlns:a="http://schemas.openxmlformats.org/drawingml/2006/main">
            <a:ext uri="{FF2B5EF4-FFF2-40B4-BE49-F238E27FC236}">
              <a16:creationId xmlns:a16="http://schemas.microsoft.com/office/drawing/2014/main" id="{D4DAD067-664F-7575-6E40-7BFC02011F59}"/>
            </a:ext>
          </a:extLst>
        </cdr:cNvPr>
        <cdr:cNvSpPr/>
      </cdr:nvSpPr>
      <cdr:spPr>
        <a:xfrm xmlns:a="http://schemas.openxmlformats.org/drawingml/2006/main" rot="10800000">
          <a:off x="2030020" y="487878"/>
          <a:ext cx="544286" cy="156688"/>
        </a:xfrm>
        <a:prstGeom xmlns:a="http://schemas.openxmlformats.org/drawingml/2006/main" prst="striped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0.40294</cdr:x>
      <cdr:y>0.12784</cdr:y>
    </cdr:from>
    <cdr:to>
      <cdr:x>0.47213</cdr:x>
      <cdr:y>0.20827</cdr:y>
    </cdr:to>
    <cdr:sp macro="" textlink="">
      <cdr:nvSpPr>
        <cdr:cNvPr id="10" name="Speech Bubble: Rectangle 9">
          <a:extLst xmlns:a="http://schemas.openxmlformats.org/drawingml/2006/main">
            <a:ext uri="{FF2B5EF4-FFF2-40B4-BE49-F238E27FC236}">
              <a16:creationId xmlns:a16="http://schemas.microsoft.com/office/drawing/2014/main" id="{F5D6A2C9-1C14-B29C-8723-1E90A8313F4B}"/>
            </a:ext>
          </a:extLst>
        </cdr:cNvPr>
        <cdr:cNvSpPr/>
      </cdr:nvSpPr>
      <cdr:spPr>
        <a:xfrm xmlns:a="http://schemas.openxmlformats.org/drawingml/2006/main">
          <a:off x="2593583" y="419445"/>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100" b="1" kern="1200">
              <a:solidFill>
                <a:schemeClr val="tx1">
                  <a:lumMod val="95000"/>
                  <a:lumOff val="5000"/>
                </a:schemeClr>
              </a:solidFill>
            </a:rPr>
            <a:t> pre</a:t>
          </a:r>
        </a:p>
      </cdr:txBody>
    </cdr:sp>
  </cdr:relSizeAnchor>
  <cdr:relSizeAnchor xmlns:cdr="http://schemas.openxmlformats.org/drawingml/2006/chartDrawing">
    <cdr:from>
      <cdr:x>0.56651</cdr:x>
      <cdr:y>0.12356</cdr:y>
    </cdr:from>
    <cdr:to>
      <cdr:x>0.6357</cdr:x>
      <cdr:y>0.20399</cdr:y>
    </cdr:to>
    <cdr:sp macro="" textlink="">
      <cdr:nvSpPr>
        <cdr:cNvPr id="11" name="Speech Bubble: Rectangle 10">
          <a:extLst xmlns:a="http://schemas.openxmlformats.org/drawingml/2006/main">
            <a:ext uri="{FF2B5EF4-FFF2-40B4-BE49-F238E27FC236}">
              <a16:creationId xmlns:a16="http://schemas.microsoft.com/office/drawing/2014/main" id="{1D2EC480-27D4-411F-5D7E-9922B9488445}"/>
            </a:ext>
          </a:extLst>
        </cdr:cNvPr>
        <cdr:cNvSpPr/>
      </cdr:nvSpPr>
      <cdr:spPr>
        <a:xfrm xmlns:a="http://schemas.openxmlformats.org/drawingml/2006/main">
          <a:off x="3646385" y="405410"/>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b="1" kern="1200">
              <a:solidFill>
                <a:schemeClr val="tx1">
                  <a:lumMod val="95000"/>
                  <a:lumOff val="5000"/>
                </a:schemeClr>
              </a:solidFill>
            </a:rPr>
            <a:t>post</a:t>
          </a:r>
        </a:p>
      </cdr:txBody>
    </cdr:sp>
  </cdr:relSizeAnchor>
</c:userShapes>
</file>

<file path=xl/drawings/drawing6.xml><?xml version="1.0" encoding="utf-8"?>
<c:userShapes xmlns:c="http://schemas.openxmlformats.org/drawingml/2006/chart">
  <cdr:relSizeAnchor xmlns:cdr="http://schemas.openxmlformats.org/drawingml/2006/chartDrawing">
    <cdr:from>
      <cdr:x>0.52968</cdr:x>
      <cdr:y>0.15266</cdr:y>
    </cdr:from>
    <cdr:to>
      <cdr:x>0.53056</cdr:x>
      <cdr:y>0.85623</cdr:y>
    </cdr:to>
    <cdr:cxnSp macro="">
      <cdr:nvCxnSpPr>
        <cdr:cNvPr id="2" name="Straight Connector 1">
          <a:extLst xmlns:a="http://schemas.openxmlformats.org/drawingml/2006/main">
            <a:ext uri="{FF2B5EF4-FFF2-40B4-BE49-F238E27FC236}">
              <a16:creationId xmlns:a16="http://schemas.microsoft.com/office/drawing/2014/main" id="{DD7639C3-A737-C34B-CA00-9871084644CC}"/>
            </a:ext>
          </a:extLst>
        </cdr:cNvPr>
        <cdr:cNvCxnSpPr/>
      </cdr:nvCxnSpPr>
      <cdr:spPr>
        <a:xfrm xmlns:a="http://schemas.openxmlformats.org/drawingml/2006/main" flipV="1">
          <a:off x="2907069" y="454716"/>
          <a:ext cx="4823" cy="2095754"/>
        </a:xfrm>
        <a:prstGeom xmlns:a="http://schemas.openxmlformats.org/drawingml/2006/main" prst="line">
          <a:avLst/>
        </a:prstGeom>
        <a:ln xmlns:a="http://schemas.openxmlformats.org/drawingml/2006/main" w="19050"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0.67002</cdr:x>
      <cdr:y>0.15322</cdr:y>
    </cdr:from>
    <cdr:to>
      <cdr:x>0.74624</cdr:x>
      <cdr:y>0.20162</cdr:y>
    </cdr:to>
    <cdr:sp macro="" textlink="">
      <cdr:nvSpPr>
        <cdr:cNvPr id="4" name="Arrow: Striped Right 3">
          <a:extLst xmlns:a="http://schemas.openxmlformats.org/drawingml/2006/main">
            <a:ext uri="{FF2B5EF4-FFF2-40B4-BE49-F238E27FC236}">
              <a16:creationId xmlns:a16="http://schemas.microsoft.com/office/drawing/2014/main" id="{D4DAD067-664F-7575-6E40-7BFC02011F59}"/>
            </a:ext>
          </a:extLst>
        </cdr:cNvPr>
        <cdr:cNvSpPr/>
      </cdr:nvSpPr>
      <cdr:spPr>
        <a:xfrm xmlns:a="http://schemas.openxmlformats.org/drawingml/2006/main">
          <a:off x="4784437" y="496124"/>
          <a:ext cx="544286" cy="156688"/>
        </a:xfrm>
        <a:prstGeom xmlns:a="http://schemas.openxmlformats.org/drawingml/2006/main" prst="striped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0.60535</cdr:x>
      <cdr:y>0.14049</cdr:y>
    </cdr:from>
    <cdr:to>
      <cdr:x>0.66771</cdr:x>
      <cdr:y>0.22199</cdr:y>
    </cdr:to>
    <cdr:sp macro="" textlink="">
      <cdr:nvSpPr>
        <cdr:cNvPr id="5" name="Speech Bubble: Rectangle 4">
          <a:extLst xmlns:a="http://schemas.openxmlformats.org/drawingml/2006/main">
            <a:ext uri="{FF2B5EF4-FFF2-40B4-BE49-F238E27FC236}">
              <a16:creationId xmlns:a16="http://schemas.microsoft.com/office/drawing/2014/main" id="{59390DE9-66E8-765A-EAB0-F822880C9BD0}"/>
            </a:ext>
          </a:extLst>
        </cdr:cNvPr>
        <cdr:cNvSpPr/>
      </cdr:nvSpPr>
      <cdr:spPr>
        <a:xfrm xmlns:a="http://schemas.openxmlformats.org/drawingml/2006/main">
          <a:off x="4322618" y="454890"/>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b="1" kern="1200">
              <a:solidFill>
                <a:schemeClr val="tx1">
                  <a:lumMod val="95000"/>
                  <a:lumOff val="5000"/>
                </a:schemeClr>
              </a:solidFill>
            </a:rPr>
            <a:t>post</a:t>
          </a:r>
        </a:p>
      </cdr:txBody>
    </cdr:sp>
  </cdr:relSizeAnchor>
  <cdr:relSizeAnchor xmlns:cdr="http://schemas.openxmlformats.org/drawingml/2006/chartDrawing">
    <cdr:from>
      <cdr:x>0.32933</cdr:x>
      <cdr:y>0.15577</cdr:y>
    </cdr:from>
    <cdr:to>
      <cdr:x>0.40555</cdr:x>
      <cdr:y>0.20416</cdr:y>
    </cdr:to>
    <cdr:sp macro="" textlink="">
      <cdr:nvSpPr>
        <cdr:cNvPr id="6" name="Arrow: Striped Right 5">
          <a:extLst xmlns:a="http://schemas.openxmlformats.org/drawingml/2006/main">
            <a:ext uri="{FF2B5EF4-FFF2-40B4-BE49-F238E27FC236}">
              <a16:creationId xmlns:a16="http://schemas.microsoft.com/office/drawing/2014/main" id="{D239ED63-A2F8-BE23-AFE3-1A79FF73C33A}"/>
            </a:ext>
          </a:extLst>
        </cdr:cNvPr>
        <cdr:cNvSpPr/>
      </cdr:nvSpPr>
      <cdr:spPr>
        <a:xfrm xmlns:a="http://schemas.openxmlformats.org/drawingml/2006/main" rot="10800000">
          <a:off x="2351644" y="504372"/>
          <a:ext cx="544286" cy="156688"/>
        </a:xfrm>
        <a:prstGeom xmlns:a="http://schemas.openxmlformats.org/drawingml/2006/main" prst="striped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0.40786</cdr:x>
      <cdr:y>0.13794</cdr:y>
    </cdr:from>
    <cdr:to>
      <cdr:x>0.47022</cdr:x>
      <cdr:y>0.21945</cdr:y>
    </cdr:to>
    <cdr:sp macro="" textlink="">
      <cdr:nvSpPr>
        <cdr:cNvPr id="7" name="Speech Bubble: Rectangle 6">
          <a:extLst xmlns:a="http://schemas.openxmlformats.org/drawingml/2006/main">
            <a:ext uri="{FF2B5EF4-FFF2-40B4-BE49-F238E27FC236}">
              <a16:creationId xmlns:a16="http://schemas.microsoft.com/office/drawing/2014/main" id="{FD4F7D96-3A24-3812-5B12-65EF7310CF80}"/>
            </a:ext>
          </a:extLst>
        </cdr:cNvPr>
        <cdr:cNvSpPr/>
      </cdr:nvSpPr>
      <cdr:spPr>
        <a:xfrm xmlns:a="http://schemas.openxmlformats.org/drawingml/2006/main">
          <a:off x="2912423" y="446644"/>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b="1" kern="1200">
              <a:solidFill>
                <a:schemeClr val="tx1">
                  <a:lumMod val="95000"/>
                  <a:lumOff val="5000"/>
                </a:schemeClr>
              </a:solidFill>
            </a:rPr>
            <a:t> pre</a:t>
          </a:r>
        </a:p>
      </cdr:txBody>
    </cdr:sp>
  </cdr:relSizeAnchor>
</c:userShapes>
</file>

<file path=xl/drawings/drawing7.xml><?xml version="1.0" encoding="utf-8"?>
<c:userShapes xmlns:c="http://schemas.openxmlformats.org/drawingml/2006/chart">
  <cdr:relSizeAnchor xmlns:cdr="http://schemas.openxmlformats.org/drawingml/2006/chartDrawing">
    <cdr:from>
      <cdr:x>0.52427</cdr:x>
      <cdr:y>0.15384</cdr:y>
    </cdr:from>
    <cdr:to>
      <cdr:x>0.52538</cdr:x>
      <cdr:y>0.80572</cdr:y>
    </cdr:to>
    <cdr:cxnSp macro="">
      <cdr:nvCxnSpPr>
        <cdr:cNvPr id="2" name="Straight Connector 1">
          <a:extLst xmlns:a="http://schemas.openxmlformats.org/drawingml/2006/main">
            <a:ext uri="{FF2B5EF4-FFF2-40B4-BE49-F238E27FC236}">
              <a16:creationId xmlns:a16="http://schemas.microsoft.com/office/drawing/2014/main" id="{DD7639C3-A737-C34B-CA00-9871084644CC}"/>
            </a:ext>
          </a:extLst>
        </cdr:cNvPr>
        <cdr:cNvCxnSpPr/>
      </cdr:nvCxnSpPr>
      <cdr:spPr>
        <a:xfrm xmlns:a="http://schemas.openxmlformats.org/drawingml/2006/main" flipH="1" flipV="1">
          <a:off x="2764879" y="457819"/>
          <a:ext cx="5826" cy="1939955"/>
        </a:xfrm>
        <a:prstGeom xmlns:a="http://schemas.openxmlformats.org/drawingml/2006/main" prst="line">
          <a:avLst/>
        </a:prstGeom>
        <a:ln xmlns:a="http://schemas.openxmlformats.org/drawingml/2006/main" w="19050"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0.65146</cdr:x>
      <cdr:y>0.68064</cdr:y>
    </cdr:from>
    <cdr:to>
      <cdr:x>0.73225</cdr:x>
      <cdr:y>0.72904</cdr:y>
    </cdr:to>
    <cdr:sp macro="" textlink="">
      <cdr:nvSpPr>
        <cdr:cNvPr id="6" name="Arrow: Striped Right 5">
          <a:extLst xmlns:a="http://schemas.openxmlformats.org/drawingml/2006/main">
            <a:ext uri="{FF2B5EF4-FFF2-40B4-BE49-F238E27FC236}">
              <a16:creationId xmlns:a16="http://schemas.microsoft.com/office/drawing/2014/main" id="{0019CA1E-0826-409E-AC8B-A8CAB910ECD9}"/>
            </a:ext>
          </a:extLst>
        </cdr:cNvPr>
        <cdr:cNvSpPr/>
      </cdr:nvSpPr>
      <cdr:spPr>
        <a:xfrm xmlns:a="http://schemas.openxmlformats.org/drawingml/2006/main">
          <a:off x="4388592" y="2203203"/>
          <a:ext cx="544286" cy="156688"/>
        </a:xfrm>
        <a:prstGeom xmlns:a="http://schemas.openxmlformats.org/drawingml/2006/main" prst="striped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0.32827</cdr:x>
      <cdr:y>0.68064</cdr:y>
    </cdr:from>
    <cdr:to>
      <cdr:x>0.40907</cdr:x>
      <cdr:y>0.72904</cdr:y>
    </cdr:to>
    <cdr:sp macro="" textlink="">
      <cdr:nvSpPr>
        <cdr:cNvPr id="7" name="Arrow: Striped Right 6">
          <a:extLst xmlns:a="http://schemas.openxmlformats.org/drawingml/2006/main">
            <a:ext uri="{FF2B5EF4-FFF2-40B4-BE49-F238E27FC236}">
              <a16:creationId xmlns:a16="http://schemas.microsoft.com/office/drawing/2014/main" id="{D95B7C55-7968-AEBB-FD33-CFF10296560C}"/>
            </a:ext>
          </a:extLst>
        </cdr:cNvPr>
        <cdr:cNvSpPr/>
      </cdr:nvSpPr>
      <cdr:spPr>
        <a:xfrm xmlns:a="http://schemas.openxmlformats.org/drawingml/2006/main" rot="10800000">
          <a:off x="2211449" y="2203204"/>
          <a:ext cx="544286" cy="156688"/>
        </a:xfrm>
        <a:prstGeom xmlns:a="http://schemas.openxmlformats.org/drawingml/2006/main" prst="striped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0.58413</cdr:x>
      <cdr:y>0.6628</cdr:y>
    </cdr:from>
    <cdr:to>
      <cdr:x>0.65023</cdr:x>
      <cdr:y>0.74433</cdr:y>
    </cdr:to>
    <cdr:sp macro="" textlink="">
      <cdr:nvSpPr>
        <cdr:cNvPr id="8" name="Speech Bubble: Rectangle 7">
          <a:extLst xmlns:a="http://schemas.openxmlformats.org/drawingml/2006/main">
            <a:ext uri="{FF2B5EF4-FFF2-40B4-BE49-F238E27FC236}">
              <a16:creationId xmlns:a16="http://schemas.microsoft.com/office/drawing/2014/main" id="{71EA01B3-26BF-6AA9-D67A-B79C49C61891}"/>
            </a:ext>
          </a:extLst>
        </cdr:cNvPr>
        <cdr:cNvSpPr/>
      </cdr:nvSpPr>
      <cdr:spPr>
        <a:xfrm xmlns:a="http://schemas.openxmlformats.org/drawingml/2006/main">
          <a:off x="3935020" y="2145475"/>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b="1" kern="1200">
              <a:solidFill>
                <a:schemeClr val="tx1">
                  <a:lumMod val="95000"/>
                  <a:lumOff val="5000"/>
                </a:schemeClr>
              </a:solidFill>
            </a:rPr>
            <a:t>post</a:t>
          </a:r>
        </a:p>
      </cdr:txBody>
    </cdr:sp>
  </cdr:relSizeAnchor>
  <cdr:relSizeAnchor xmlns:cdr="http://schemas.openxmlformats.org/drawingml/2006/chartDrawing">
    <cdr:from>
      <cdr:x>0.41152</cdr:x>
      <cdr:y>0.6628</cdr:y>
    </cdr:from>
    <cdr:to>
      <cdr:x>0.47762</cdr:x>
      <cdr:y>0.74433</cdr:y>
    </cdr:to>
    <cdr:sp macro="" textlink="">
      <cdr:nvSpPr>
        <cdr:cNvPr id="9" name="Speech Bubble: Rectangle 8">
          <a:extLst xmlns:a="http://schemas.openxmlformats.org/drawingml/2006/main">
            <a:ext uri="{FF2B5EF4-FFF2-40B4-BE49-F238E27FC236}">
              <a16:creationId xmlns:a16="http://schemas.microsoft.com/office/drawing/2014/main" id="{50FF915D-4475-04E3-F92D-E3BEA680B46F}"/>
            </a:ext>
          </a:extLst>
        </cdr:cNvPr>
        <cdr:cNvSpPr/>
      </cdr:nvSpPr>
      <cdr:spPr>
        <a:xfrm xmlns:a="http://schemas.openxmlformats.org/drawingml/2006/main">
          <a:off x="2772228" y="2145475"/>
          <a:ext cx="445325" cy="263895"/>
        </a:xfrm>
        <a:prstGeom xmlns:a="http://schemas.openxmlformats.org/drawingml/2006/main" prst="wedgeRectCallout">
          <a:avLst>
            <a:gd name="adj1" fmla="val -20833"/>
            <a:gd name="adj2" fmla="val 39166"/>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b="1" kern="1200">
              <a:solidFill>
                <a:schemeClr val="tx1">
                  <a:lumMod val="95000"/>
                  <a:lumOff val="5000"/>
                </a:schemeClr>
              </a:solidFill>
            </a:rPr>
            <a:t> pre</a:t>
          </a: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601852</xdr:colOff>
      <xdr:row>36</xdr:row>
      <xdr:rowOff>35944</xdr:rowOff>
    </xdr:from>
    <xdr:to>
      <xdr:col>12</xdr:col>
      <xdr:colOff>1213188</xdr:colOff>
      <xdr:row>67</xdr:row>
      <xdr:rowOff>178818</xdr:rowOff>
    </xdr:to>
    <xdr:graphicFrame macro="">
      <xdr:nvGraphicFramePr>
        <xdr:cNvPr id="18" name="Chart 17">
          <a:extLst>
            <a:ext uri="{FF2B5EF4-FFF2-40B4-BE49-F238E27FC236}">
              <a16:creationId xmlns:a16="http://schemas.microsoft.com/office/drawing/2014/main" id="{235058A9-479E-77F8-AA60-1D92488DC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941916</xdr:colOff>
      <xdr:row>37</xdr:row>
      <xdr:rowOff>10762</xdr:rowOff>
    </xdr:from>
    <xdr:to>
      <xdr:col>8</xdr:col>
      <xdr:colOff>947118</xdr:colOff>
      <xdr:row>64</xdr:row>
      <xdr:rowOff>52916</xdr:rowOff>
    </xdr:to>
    <xdr:cxnSp macro="">
      <xdr:nvCxnSpPr>
        <xdr:cNvPr id="20" name="Straight Connector 19">
          <a:extLst>
            <a:ext uri="{FF2B5EF4-FFF2-40B4-BE49-F238E27FC236}">
              <a16:creationId xmlns:a16="http://schemas.microsoft.com/office/drawing/2014/main" id="{E0D86510-6E9F-36F6-84E4-AFDE6006D657}"/>
            </a:ext>
          </a:extLst>
        </xdr:cNvPr>
        <xdr:cNvCxnSpPr/>
      </xdr:nvCxnSpPr>
      <xdr:spPr>
        <a:xfrm flipH="1">
          <a:off x="8551333" y="6667679"/>
          <a:ext cx="5202" cy="4899904"/>
        </a:xfrm>
        <a:prstGeom prst="line">
          <a:avLst/>
        </a:prstGeom>
        <a:ln w="28575" cap="flat" cmpd="sng" algn="ctr">
          <a:solidFill>
            <a:schemeClr val="accent6"/>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107830</xdr:colOff>
      <xdr:row>36</xdr:row>
      <xdr:rowOff>167736</xdr:rowOff>
    </xdr:from>
    <xdr:to>
      <xdr:col>11</xdr:col>
      <xdr:colOff>203679</xdr:colOff>
      <xdr:row>39</xdr:row>
      <xdr:rowOff>47925</xdr:rowOff>
    </xdr:to>
    <xdr:sp macro="" textlink="">
      <xdr:nvSpPr>
        <xdr:cNvPr id="23" name="Speech Bubble: Rectangle 22">
          <a:extLst>
            <a:ext uri="{FF2B5EF4-FFF2-40B4-BE49-F238E27FC236}">
              <a16:creationId xmlns:a16="http://schemas.microsoft.com/office/drawing/2014/main" id="{CFAE0CA2-6CAD-7212-30BF-1BBF14BB202C}"/>
            </a:ext>
          </a:extLst>
        </xdr:cNvPr>
        <xdr:cNvSpPr/>
      </xdr:nvSpPr>
      <xdr:spPr>
        <a:xfrm>
          <a:off x="10375660" y="6637547"/>
          <a:ext cx="1437736" cy="419340"/>
        </a:xfrm>
        <a:prstGeom prst="wedge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post</a:t>
          </a:r>
          <a:r>
            <a:rPr lang="en-US" sz="2000" b="1" baseline="0">
              <a:solidFill>
                <a:schemeClr val="tx1">
                  <a:lumMod val="95000"/>
                  <a:lumOff val="5000"/>
                </a:schemeClr>
              </a:solidFill>
            </a:rPr>
            <a:t> - covid</a:t>
          </a:r>
          <a:endParaRPr lang="en-US" sz="2000" b="1">
            <a:solidFill>
              <a:schemeClr val="tx1">
                <a:lumMod val="95000"/>
                <a:lumOff val="5000"/>
              </a:schemeClr>
            </a:solidFill>
          </a:endParaRPr>
        </a:p>
      </xdr:txBody>
    </xdr:sp>
    <xdr:clientData/>
  </xdr:twoCellAnchor>
  <xdr:twoCellAnchor>
    <xdr:from>
      <xdr:col>15</xdr:col>
      <xdr:colOff>112128</xdr:colOff>
      <xdr:row>36</xdr:row>
      <xdr:rowOff>47781</xdr:rowOff>
    </xdr:from>
    <xdr:to>
      <xdr:col>23</xdr:col>
      <xdr:colOff>866316</xdr:colOff>
      <xdr:row>67</xdr:row>
      <xdr:rowOff>167735</xdr:rowOff>
    </xdr:to>
    <xdr:graphicFrame macro="">
      <xdr:nvGraphicFramePr>
        <xdr:cNvPr id="24" name="Chart 23">
          <a:extLst>
            <a:ext uri="{FF2B5EF4-FFF2-40B4-BE49-F238E27FC236}">
              <a16:creationId xmlns:a16="http://schemas.microsoft.com/office/drawing/2014/main" id="{5CDA39C2-4516-F789-F4F7-919735734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103807</xdr:colOff>
      <xdr:row>36</xdr:row>
      <xdr:rowOff>27022</xdr:rowOff>
    </xdr:from>
    <xdr:to>
      <xdr:col>37</xdr:col>
      <xdr:colOff>395211</xdr:colOff>
      <xdr:row>67</xdr:row>
      <xdr:rowOff>170493</xdr:rowOff>
    </xdr:to>
    <xdr:graphicFrame macro="">
      <xdr:nvGraphicFramePr>
        <xdr:cNvPr id="26" name="Chart 25">
          <a:extLst>
            <a:ext uri="{FF2B5EF4-FFF2-40B4-BE49-F238E27FC236}">
              <a16:creationId xmlns:a16="http://schemas.microsoft.com/office/drawing/2014/main" id="{9443AA0B-FB48-8883-905C-8F92EF4F5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0.65659</cdr:x>
      <cdr:y>0.11805</cdr:y>
    </cdr:from>
    <cdr:to>
      <cdr:x>0.84181</cdr:x>
      <cdr:y>0.11805</cdr:y>
    </cdr:to>
    <cdr:cxnSp macro="">
      <cdr:nvCxnSpPr>
        <cdr:cNvPr id="17" name="Straight Arrow Connector 16">
          <a:extLst xmlns:a="http://schemas.openxmlformats.org/drawingml/2006/main">
            <a:ext uri="{FF2B5EF4-FFF2-40B4-BE49-F238E27FC236}">
              <a16:creationId xmlns:a16="http://schemas.microsoft.com/office/drawing/2014/main" id="{C74A0D9C-787F-8CB6-D2B9-C53DA047C544}"/>
            </a:ext>
          </a:extLst>
        </cdr:cNvPr>
        <cdr:cNvCxnSpPr/>
      </cdr:nvCxnSpPr>
      <cdr:spPr>
        <a:xfrm xmlns:a="http://schemas.openxmlformats.org/drawingml/2006/main">
          <a:off x="7559945" y="673400"/>
          <a:ext cx="2132642"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0.18625</cdr:x>
      <cdr:y>0.12015</cdr:y>
    </cdr:from>
    <cdr:to>
      <cdr:x>0.36731</cdr:x>
      <cdr:y>0.12015</cdr:y>
    </cdr:to>
    <cdr:cxnSp macro="">
      <cdr:nvCxnSpPr>
        <cdr:cNvPr id="19" name="Straight Arrow Connector 18">
          <a:extLst xmlns:a="http://schemas.openxmlformats.org/drawingml/2006/main">
            <a:ext uri="{FF2B5EF4-FFF2-40B4-BE49-F238E27FC236}">
              <a16:creationId xmlns:a16="http://schemas.microsoft.com/office/drawing/2014/main" id="{F9D725AA-D21A-98D4-2CBB-28EC93B7D1F2}"/>
            </a:ext>
          </a:extLst>
        </cdr:cNvPr>
        <cdr:cNvCxnSpPr/>
      </cdr:nvCxnSpPr>
      <cdr:spPr>
        <a:xfrm xmlns:a="http://schemas.openxmlformats.org/drawingml/2006/main" flipH="1">
          <a:off x="2144474" y="685381"/>
          <a:ext cx="2084717"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0.23725</cdr:x>
      <cdr:y>0.02306</cdr:y>
    </cdr:from>
    <cdr:to>
      <cdr:x>0.36003</cdr:x>
      <cdr:y>0.09016</cdr:y>
    </cdr:to>
    <cdr:sp macro="" textlink="">
      <cdr:nvSpPr>
        <cdr:cNvPr id="20" name="Speech Bubble: Rectangle 19">
          <a:extLst xmlns:a="http://schemas.openxmlformats.org/drawingml/2006/main">
            <a:ext uri="{FF2B5EF4-FFF2-40B4-BE49-F238E27FC236}">
              <a16:creationId xmlns:a16="http://schemas.microsoft.com/office/drawing/2014/main" id="{CFAE0CA2-6CAD-7212-30BF-1BBF14BB202C}"/>
            </a:ext>
          </a:extLst>
        </cdr:cNvPr>
        <cdr:cNvSpPr/>
      </cdr:nvSpPr>
      <cdr:spPr>
        <a:xfrm xmlns:a="http://schemas.openxmlformats.org/drawingml/2006/main">
          <a:off x="2731699" y="131793"/>
          <a:ext cx="1413774" cy="383396"/>
        </a:xfrm>
        <a:prstGeom xmlns:a="http://schemas.openxmlformats.org/drawingml/2006/main" prst="wedgeRectCallout">
          <a:avLst>
            <a:gd name="adj1" fmla="val 22266"/>
            <a:gd name="adj2" fmla="val 68663"/>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2000" b="1">
              <a:solidFill>
                <a:schemeClr val="tx1">
                  <a:lumMod val="95000"/>
                  <a:lumOff val="5000"/>
                </a:schemeClr>
              </a:solidFill>
            </a:rPr>
            <a:t>pre</a:t>
          </a:r>
          <a:r>
            <a:rPr lang="en-US" sz="2000" b="1" baseline="0">
              <a:solidFill>
                <a:schemeClr val="tx1">
                  <a:lumMod val="95000"/>
                  <a:lumOff val="5000"/>
                </a:schemeClr>
              </a:solidFill>
            </a:rPr>
            <a:t> - covid</a:t>
          </a:r>
          <a:endParaRPr lang="en-US" sz="2000" b="1">
            <a:solidFill>
              <a:schemeClr val="tx1">
                <a:lumMod val="95000"/>
                <a:lumOff val="5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0.65751</cdr:x>
      <cdr:y>0.03121</cdr:y>
    </cdr:from>
    <cdr:to>
      <cdr:x>0.78162</cdr:x>
      <cdr:y>0.10491</cdr:y>
    </cdr:to>
    <cdr:sp macro="" textlink="">
      <cdr:nvSpPr>
        <cdr:cNvPr id="2" name="Speech Bubble: Rectangle 1">
          <a:extLst xmlns:a="http://schemas.openxmlformats.org/drawingml/2006/main">
            <a:ext uri="{FF2B5EF4-FFF2-40B4-BE49-F238E27FC236}">
              <a16:creationId xmlns:a16="http://schemas.microsoft.com/office/drawing/2014/main" id="{CFAE0CA2-6CAD-7212-30BF-1BBF14BB202C}"/>
            </a:ext>
          </a:extLst>
        </cdr:cNvPr>
        <cdr:cNvSpPr/>
      </cdr:nvSpPr>
      <cdr:spPr>
        <a:xfrm xmlns:a="http://schemas.openxmlformats.org/drawingml/2006/main">
          <a:off x="7628467" y="177800"/>
          <a:ext cx="1439933" cy="419939"/>
        </a:xfrm>
        <a:prstGeom xmlns:a="http://schemas.openxmlformats.org/drawingml/2006/main" prst="wedgeRectCallout">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2000" b="1">
              <a:solidFill>
                <a:schemeClr val="tx1">
                  <a:lumMod val="95000"/>
                  <a:lumOff val="5000"/>
                </a:schemeClr>
              </a:solidFill>
            </a:rPr>
            <a:t>post</a:t>
          </a:r>
          <a:r>
            <a:rPr lang="en-US" sz="2000" b="1" baseline="0">
              <a:solidFill>
                <a:schemeClr val="tx1">
                  <a:lumMod val="95000"/>
                  <a:lumOff val="5000"/>
                </a:schemeClr>
              </a:solidFill>
            </a:rPr>
            <a:t> - covid</a:t>
          </a:r>
          <a:endParaRPr lang="en-US" sz="2000" b="1">
            <a:solidFill>
              <a:schemeClr val="tx1">
                <a:lumMod val="95000"/>
                <a:lumOff val="5000"/>
              </a:schemeClr>
            </a:solidFill>
          </a:endParaRPr>
        </a:p>
      </cdr:txBody>
    </cdr:sp>
  </cdr:relSizeAnchor>
  <cdr:relSizeAnchor xmlns:cdr="http://schemas.openxmlformats.org/drawingml/2006/chartDrawing">
    <cdr:from>
      <cdr:x>0.65528</cdr:x>
      <cdr:y>0.12744</cdr:y>
    </cdr:from>
    <cdr:to>
      <cdr:x>0.83889</cdr:x>
      <cdr:y>0.12744</cdr:y>
    </cdr:to>
    <cdr:cxnSp macro="">
      <cdr:nvCxnSpPr>
        <cdr:cNvPr id="6" name="Straight Arrow Connector 5">
          <a:extLst xmlns:a="http://schemas.openxmlformats.org/drawingml/2006/main">
            <a:ext uri="{FF2B5EF4-FFF2-40B4-BE49-F238E27FC236}">
              <a16:creationId xmlns:a16="http://schemas.microsoft.com/office/drawing/2014/main" id="{8A38EA63-9CEB-CFBC-7487-091C82ACAE65}"/>
            </a:ext>
          </a:extLst>
        </cdr:cNvPr>
        <cdr:cNvCxnSpPr/>
      </cdr:nvCxnSpPr>
      <cdr:spPr>
        <a:xfrm xmlns:a="http://schemas.openxmlformats.org/drawingml/2006/main">
          <a:off x="7602582" y="726055"/>
          <a:ext cx="2130340"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0.18901</cdr:x>
      <cdr:y>0.12955</cdr:y>
    </cdr:from>
    <cdr:to>
      <cdr:x>0.3685</cdr:x>
      <cdr:y>0.12955</cdr:y>
    </cdr:to>
    <cdr:cxnSp macro="">
      <cdr:nvCxnSpPr>
        <cdr:cNvPr id="7" name="Straight Arrow Connector 6">
          <a:extLst xmlns:a="http://schemas.openxmlformats.org/drawingml/2006/main">
            <a:ext uri="{FF2B5EF4-FFF2-40B4-BE49-F238E27FC236}">
              <a16:creationId xmlns:a16="http://schemas.microsoft.com/office/drawing/2014/main" id="{3689D38E-FDA0-08E6-40AE-B59086383633}"/>
            </a:ext>
          </a:extLst>
        </cdr:cNvPr>
        <cdr:cNvCxnSpPr/>
      </cdr:nvCxnSpPr>
      <cdr:spPr>
        <a:xfrm xmlns:a="http://schemas.openxmlformats.org/drawingml/2006/main" flipH="1">
          <a:off x="2192959" y="738069"/>
          <a:ext cx="2082466"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0.2452</cdr:x>
      <cdr:y>0.0304</cdr:y>
    </cdr:from>
    <cdr:to>
      <cdr:x>0.36692</cdr:x>
      <cdr:y>0.10415</cdr:y>
    </cdr:to>
    <cdr:sp macro="" textlink="">
      <cdr:nvSpPr>
        <cdr:cNvPr id="8" name="Speech Bubble: Rectangle 7">
          <a:extLst xmlns:a="http://schemas.openxmlformats.org/drawingml/2006/main">
            <a:ext uri="{FF2B5EF4-FFF2-40B4-BE49-F238E27FC236}">
              <a16:creationId xmlns:a16="http://schemas.microsoft.com/office/drawing/2014/main" id="{C421C11A-6622-8F88-A36A-A66197565EE1}"/>
            </a:ext>
          </a:extLst>
        </cdr:cNvPr>
        <cdr:cNvSpPr/>
      </cdr:nvSpPr>
      <cdr:spPr>
        <a:xfrm xmlns:a="http://schemas.openxmlformats.org/drawingml/2006/main">
          <a:off x="2845076" y="181900"/>
          <a:ext cx="1412366" cy="441268"/>
        </a:xfrm>
        <a:prstGeom xmlns:a="http://schemas.openxmlformats.org/drawingml/2006/main" prst="wedgeRectCallout">
          <a:avLst>
            <a:gd name="adj1" fmla="val 22266"/>
            <a:gd name="adj2" fmla="val 68663"/>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2000" b="1">
              <a:solidFill>
                <a:schemeClr val="tx1">
                  <a:lumMod val="95000"/>
                  <a:lumOff val="5000"/>
                </a:schemeClr>
              </a:solidFill>
            </a:rPr>
            <a:t>pre</a:t>
          </a:r>
          <a:r>
            <a:rPr lang="en-US" sz="2000" b="1" baseline="0">
              <a:solidFill>
                <a:schemeClr val="tx1">
                  <a:lumMod val="95000"/>
                  <a:lumOff val="5000"/>
                </a:schemeClr>
              </a:solidFill>
            </a:rPr>
            <a:t> - covid</a:t>
          </a:r>
          <a:endParaRPr lang="en-US" sz="2000" b="1">
            <a:solidFill>
              <a:schemeClr val="tx1">
                <a:lumMod val="95000"/>
                <a:lumOff val="5000"/>
              </a:schemeClr>
            </a:solidFill>
          </a:endParaRPr>
        </a:p>
      </cdr:txBody>
    </cdr:sp>
  </cdr:relSizeAnchor>
  <cdr:relSizeAnchor xmlns:cdr="http://schemas.openxmlformats.org/drawingml/2006/chartDrawing">
    <cdr:from>
      <cdr:x>0.51565</cdr:x>
      <cdr:y>0.02505</cdr:y>
    </cdr:from>
    <cdr:to>
      <cdr:x>0.51849</cdr:x>
      <cdr:y>0.92384</cdr:y>
    </cdr:to>
    <cdr:cxnSp macro="">
      <cdr:nvCxnSpPr>
        <cdr:cNvPr id="9" name="Straight Connector 8">
          <a:extLst xmlns:a="http://schemas.openxmlformats.org/drawingml/2006/main">
            <a:ext uri="{FF2B5EF4-FFF2-40B4-BE49-F238E27FC236}">
              <a16:creationId xmlns:a16="http://schemas.microsoft.com/office/drawing/2014/main" id="{E0D86510-6E9F-36F6-84E4-AFDE6006D657}"/>
            </a:ext>
          </a:extLst>
        </cdr:cNvPr>
        <cdr:cNvCxnSpPr/>
      </cdr:nvCxnSpPr>
      <cdr:spPr>
        <a:xfrm xmlns:a="http://schemas.openxmlformats.org/drawingml/2006/main" flipH="1">
          <a:off x="5982669" y="142719"/>
          <a:ext cx="32953" cy="5120735"/>
        </a:xfrm>
        <a:prstGeom xmlns:a="http://schemas.openxmlformats.org/drawingml/2006/main" prst="line">
          <a:avLst/>
        </a:prstGeom>
        <a:ln xmlns:a="http://schemas.openxmlformats.org/drawingml/2006/main" w="28575"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0.52096</cdr:x>
      <cdr:y>0.03535</cdr:y>
    </cdr:from>
    <cdr:to>
      <cdr:x>0.52161</cdr:x>
      <cdr:y>0.93125</cdr:y>
    </cdr:to>
    <cdr:cxnSp macro="">
      <cdr:nvCxnSpPr>
        <cdr:cNvPr id="2" name="Straight Connector 1">
          <a:extLst xmlns:a="http://schemas.openxmlformats.org/drawingml/2006/main">
            <a:ext uri="{FF2B5EF4-FFF2-40B4-BE49-F238E27FC236}">
              <a16:creationId xmlns:a16="http://schemas.microsoft.com/office/drawing/2014/main" id="{6D406B2D-C762-C514-5B4B-73340EFF852A}"/>
            </a:ext>
          </a:extLst>
        </cdr:cNvPr>
        <cdr:cNvCxnSpPr/>
      </cdr:nvCxnSpPr>
      <cdr:spPr>
        <a:xfrm xmlns:a="http://schemas.openxmlformats.org/drawingml/2006/main" flipH="1">
          <a:off x="6036005" y="211727"/>
          <a:ext cx="7528" cy="5365658"/>
        </a:xfrm>
        <a:prstGeom xmlns:a="http://schemas.openxmlformats.org/drawingml/2006/main" prst="line">
          <a:avLst/>
        </a:prstGeom>
        <a:ln xmlns:a="http://schemas.openxmlformats.org/drawingml/2006/main" w="28575" cap="flat" cmpd="sng" algn="ctr">
          <a:solidFill>
            <a:schemeClr val="accent6"/>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0.69094</cdr:x>
      <cdr:y>0.10647</cdr:y>
    </cdr:from>
    <cdr:to>
      <cdr:x>0.87482</cdr:x>
      <cdr:y>0.10647</cdr:y>
    </cdr:to>
    <cdr:cxnSp macro="">
      <cdr:nvCxnSpPr>
        <cdr:cNvPr id="4" name="Straight Arrow Connector 3">
          <a:extLst xmlns:a="http://schemas.openxmlformats.org/drawingml/2006/main">
            <a:ext uri="{FF2B5EF4-FFF2-40B4-BE49-F238E27FC236}">
              <a16:creationId xmlns:a16="http://schemas.microsoft.com/office/drawing/2014/main" id="{15033662-5E32-6864-2084-9AEC67B0E09B}"/>
            </a:ext>
          </a:extLst>
        </cdr:cNvPr>
        <cdr:cNvCxnSpPr/>
      </cdr:nvCxnSpPr>
      <cdr:spPr>
        <a:xfrm xmlns:a="http://schemas.openxmlformats.org/drawingml/2006/main">
          <a:off x="8005396" y="637693"/>
          <a:ext cx="2130547"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0.17035</cdr:x>
      <cdr:y>0.11084</cdr:y>
    </cdr:from>
    <cdr:to>
      <cdr:x>0.35011</cdr:x>
      <cdr:y>0.11084</cdr:y>
    </cdr:to>
    <cdr:cxnSp macro="">
      <cdr:nvCxnSpPr>
        <cdr:cNvPr id="5" name="Straight Arrow Connector 4">
          <a:extLst xmlns:a="http://schemas.openxmlformats.org/drawingml/2006/main">
            <a:ext uri="{FF2B5EF4-FFF2-40B4-BE49-F238E27FC236}">
              <a16:creationId xmlns:a16="http://schemas.microsoft.com/office/drawing/2014/main" id="{4DE62FD1-CDE9-F5AC-C34C-05BBBBE1DF6C}"/>
            </a:ext>
          </a:extLst>
        </cdr:cNvPr>
        <cdr:cNvCxnSpPr/>
      </cdr:nvCxnSpPr>
      <cdr:spPr>
        <a:xfrm xmlns:a="http://schemas.openxmlformats.org/drawingml/2006/main" flipH="1">
          <a:off x="1973759" y="663817"/>
          <a:ext cx="2082668" cy="0"/>
        </a:xfrm>
        <a:prstGeom xmlns:a="http://schemas.openxmlformats.org/drawingml/2006/main" prst="straightConnector1">
          <a:avLst/>
        </a:prstGeom>
        <a:ln xmlns:a="http://schemas.openxmlformats.org/drawingml/2006/main" w="38100" cap="flat" cmpd="sng" algn="ctr">
          <a:solidFill>
            <a:schemeClr val="accent4"/>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0.69587</cdr:x>
      <cdr:y>0.01525</cdr:y>
    </cdr:from>
    <cdr:to>
      <cdr:x>0.82017</cdr:x>
      <cdr:y>0.08889</cdr:y>
    </cdr:to>
    <cdr:sp macro="" textlink="">
      <cdr:nvSpPr>
        <cdr:cNvPr id="6" name="Speech Bubble: Rectangle 5">
          <a:extLst xmlns:a="http://schemas.openxmlformats.org/drawingml/2006/main">
            <a:ext uri="{FF2B5EF4-FFF2-40B4-BE49-F238E27FC236}">
              <a16:creationId xmlns:a16="http://schemas.microsoft.com/office/drawing/2014/main" id="{C68A6C74-5989-C29B-BDF6-7CF154A7058F}"/>
            </a:ext>
          </a:extLst>
        </cdr:cNvPr>
        <cdr:cNvSpPr/>
      </cdr:nvSpPr>
      <cdr:spPr>
        <a:xfrm xmlns:a="http://schemas.openxmlformats.org/drawingml/2006/main">
          <a:off x="8062609" y="91332"/>
          <a:ext cx="1440073" cy="441034"/>
        </a:xfrm>
        <a:prstGeom xmlns:a="http://schemas.openxmlformats.org/drawingml/2006/main" prst="wedgeRectCallout">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2000" b="1">
              <a:solidFill>
                <a:schemeClr val="tx1">
                  <a:lumMod val="95000"/>
                  <a:lumOff val="5000"/>
                </a:schemeClr>
              </a:solidFill>
            </a:rPr>
            <a:t>post</a:t>
          </a:r>
          <a:r>
            <a:rPr lang="en-US" sz="2000" b="1" baseline="0">
              <a:solidFill>
                <a:schemeClr val="tx1">
                  <a:lumMod val="95000"/>
                  <a:lumOff val="5000"/>
                </a:schemeClr>
              </a:solidFill>
            </a:rPr>
            <a:t> - covid</a:t>
          </a:r>
          <a:endParaRPr lang="en-US" sz="2000" b="1">
            <a:solidFill>
              <a:schemeClr val="tx1">
                <a:lumMod val="95000"/>
                <a:lumOff val="5000"/>
              </a:schemeClr>
            </a:solidFill>
          </a:endParaRPr>
        </a:p>
      </cdr:txBody>
    </cdr:sp>
  </cdr:relSizeAnchor>
  <cdr:relSizeAnchor xmlns:cdr="http://schemas.openxmlformats.org/drawingml/2006/chartDrawing">
    <cdr:from>
      <cdr:x>0.23294</cdr:x>
      <cdr:y>0.00848</cdr:y>
    </cdr:from>
    <cdr:to>
      <cdr:x>0.35484</cdr:x>
      <cdr:y>0.08216</cdr:y>
    </cdr:to>
    <cdr:sp macro="" textlink="">
      <cdr:nvSpPr>
        <cdr:cNvPr id="7" name="Speech Bubble: Rectangle 6">
          <a:extLst xmlns:a="http://schemas.openxmlformats.org/drawingml/2006/main">
            <a:ext uri="{FF2B5EF4-FFF2-40B4-BE49-F238E27FC236}">
              <a16:creationId xmlns:a16="http://schemas.microsoft.com/office/drawing/2014/main" id="{6F6EA3E8-A635-EAF8-61DA-7AAC3693F555}"/>
            </a:ext>
          </a:extLst>
        </cdr:cNvPr>
        <cdr:cNvSpPr/>
      </cdr:nvSpPr>
      <cdr:spPr>
        <a:xfrm xmlns:a="http://schemas.openxmlformats.org/drawingml/2006/main">
          <a:off x="2698884" y="50800"/>
          <a:ext cx="1412366" cy="441268"/>
        </a:xfrm>
        <a:prstGeom xmlns:a="http://schemas.openxmlformats.org/drawingml/2006/main" prst="wedgeRectCallout">
          <a:avLst>
            <a:gd name="adj1" fmla="val 22266"/>
            <a:gd name="adj2" fmla="val 68663"/>
          </a:avLst>
        </a:prstGeom>
        <a:solidFill xmlns:a="http://schemas.openxmlformats.org/drawingml/2006/main">
          <a:schemeClr val="accent4">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2000" b="1">
              <a:solidFill>
                <a:schemeClr val="tx1">
                  <a:lumMod val="95000"/>
                  <a:lumOff val="5000"/>
                </a:schemeClr>
              </a:solidFill>
            </a:rPr>
            <a:t>pre</a:t>
          </a:r>
          <a:r>
            <a:rPr lang="en-US" sz="2000" b="1" baseline="0">
              <a:solidFill>
                <a:schemeClr val="tx1">
                  <a:lumMod val="95000"/>
                  <a:lumOff val="5000"/>
                </a:schemeClr>
              </a:solidFill>
            </a:rPr>
            <a:t> - covid</a:t>
          </a:r>
          <a:endParaRPr lang="en-US" sz="2000" b="1">
            <a:solidFill>
              <a:schemeClr val="tx1">
                <a:lumMod val="95000"/>
                <a:lumOff val="5000"/>
              </a:schemeClr>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342900</xdr:colOff>
      <xdr:row>6</xdr:row>
      <xdr:rowOff>177800</xdr:rowOff>
    </xdr:to>
    <xdr:pic>
      <xdr:nvPicPr>
        <xdr:cNvPr id="2" name="Picture 1">
          <a:extLst>
            <a:ext uri="{FF2B5EF4-FFF2-40B4-BE49-F238E27FC236}">
              <a16:creationId xmlns:a16="http://schemas.microsoft.com/office/drawing/2014/main" id="{105B27B3-0067-4938-A3C9-3C33B6B2A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5900"/>
          <a:ext cx="95250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F0AB-2AD5-4126-A920-7F87FC976A26}">
  <dimension ref="A1:AD373"/>
  <sheetViews>
    <sheetView workbookViewId="0">
      <selection activeCell="B5" sqref="B5"/>
    </sheetView>
  </sheetViews>
  <sheetFormatPr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7566-8697-47A6-811C-3D2FB79DA58B}">
  <dimension ref="A1:AH376"/>
  <sheetViews>
    <sheetView topLeftCell="Z355" zoomScale="132" zoomScaleNormal="90" workbookViewId="0">
      <selection sqref="A1:AD376"/>
    </sheetView>
  </sheetViews>
  <sheetFormatPr defaultRowHeight="14.5" x14ac:dyDescent="0.35"/>
  <cols>
    <col min="1" max="1" width="11.36328125" bestFit="1" customWidth="1"/>
    <col min="2" max="2" width="6.81640625" bestFit="1" customWidth="1"/>
    <col min="3" max="3" width="10" bestFit="1" customWidth="1"/>
    <col min="4" max="4" width="20.81640625" bestFit="1" customWidth="1"/>
    <col min="5" max="5" width="14.54296875" bestFit="1" customWidth="1"/>
    <col min="6" max="6" width="6.08984375" bestFit="1" customWidth="1"/>
    <col min="7" max="7" width="18.1796875" bestFit="1" customWidth="1"/>
    <col min="8" max="8" width="13.36328125" bestFit="1" customWidth="1"/>
    <col min="9" max="9" width="7.81640625" bestFit="1" customWidth="1"/>
    <col min="10" max="10" width="12.1796875" bestFit="1" customWidth="1"/>
    <col min="11" max="11" width="19.90625" bestFit="1" customWidth="1"/>
    <col min="12" max="12" width="23.7265625" bestFit="1" customWidth="1"/>
    <col min="13" max="13" width="8.36328125" bestFit="1" customWidth="1"/>
    <col min="14" max="14" width="23.6328125" bestFit="1" customWidth="1"/>
    <col min="15" max="15" width="33" bestFit="1" customWidth="1"/>
    <col min="16" max="16" width="20" bestFit="1" customWidth="1"/>
    <col min="17" max="17" width="27" bestFit="1" customWidth="1"/>
    <col min="18" max="18" width="10" bestFit="1" customWidth="1"/>
    <col min="19" max="19" width="11" bestFit="1" customWidth="1"/>
    <col min="20" max="20" width="21.81640625" bestFit="1" customWidth="1"/>
    <col min="21" max="21" width="9.81640625" bestFit="1" customWidth="1"/>
    <col min="22" max="22" width="14.36328125" bestFit="1" customWidth="1"/>
    <col min="23" max="23" width="28.54296875" bestFit="1" customWidth="1"/>
    <col min="24" max="24" width="8.6328125" bestFit="1" customWidth="1"/>
    <col min="25" max="25" width="28.6328125" bestFit="1" customWidth="1"/>
    <col min="26" max="26" width="26.26953125" bestFit="1" customWidth="1"/>
    <col min="27" max="27" width="11.36328125" bestFit="1" customWidth="1"/>
    <col min="28" max="28" width="24.1796875" bestFit="1" customWidth="1"/>
    <col min="29" max="29" width="14.90625" bestFit="1" customWidth="1"/>
    <col min="30" max="30" width="14.6328125" bestFit="1" customWidth="1"/>
    <col min="33" max="33" width="8.6328125" bestFit="1" customWidth="1"/>
    <col min="34" max="34" width="19.36328125" bestFit="1" customWidth="1"/>
  </cols>
  <sheetData>
    <row r="1" spans="1:34"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35" t="s">
        <v>59</v>
      </c>
      <c r="AF1" s="35" t="s">
        <v>61</v>
      </c>
      <c r="AG1" s="35" t="s">
        <v>23</v>
      </c>
      <c r="AH1" s="35" t="s">
        <v>62</v>
      </c>
    </row>
    <row r="2" spans="1:34"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c r="AE2">
        <v>1371.6999999999998</v>
      </c>
      <c r="AF2">
        <v>525.80000000000007</v>
      </c>
      <c r="AG2">
        <v>104</v>
      </c>
      <c r="AH2">
        <v>210.3</v>
      </c>
    </row>
    <row r="3" spans="1:34"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v>1376.4</v>
      </c>
      <c r="AF3">
        <v>523.4</v>
      </c>
      <c r="AG3">
        <v>104.1</v>
      </c>
      <c r="AH3">
        <v>310.5</v>
      </c>
    </row>
    <row r="4" spans="1:34"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v>1373.3000000000002</v>
      </c>
      <c r="AF4">
        <v>524.79999999999995</v>
      </c>
      <c r="AG4">
        <v>104</v>
      </c>
      <c r="AH4">
        <v>310.60000000000002</v>
      </c>
    </row>
    <row r="5" spans="1:34"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c r="AE5">
        <v>1380.3999999999999</v>
      </c>
      <c r="AF5">
        <v>528.4</v>
      </c>
      <c r="AG5">
        <v>104.4</v>
      </c>
      <c r="AH5">
        <v>211.4</v>
      </c>
    </row>
    <row r="6" spans="1:34"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v>1390.6000000000001</v>
      </c>
      <c r="AF6">
        <v>526.6</v>
      </c>
      <c r="AG6">
        <v>104.7</v>
      </c>
      <c r="AH6">
        <v>311.3</v>
      </c>
    </row>
    <row r="7" spans="1:34"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v>1384.2</v>
      </c>
      <c r="AF7">
        <v>527.79999999999995</v>
      </c>
      <c r="AG7">
        <v>104.5</v>
      </c>
      <c r="AH7">
        <v>311.60000000000002</v>
      </c>
    </row>
    <row r="8" spans="1:34"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c r="AE8">
        <v>1382.2</v>
      </c>
      <c r="AF8">
        <v>530.79999999999995</v>
      </c>
      <c r="AG8">
        <v>104.7</v>
      </c>
      <c r="AH8">
        <v>211.7</v>
      </c>
    </row>
    <row r="9" spans="1:34"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v>1386.8</v>
      </c>
      <c r="AF9">
        <v>529.5</v>
      </c>
      <c r="AG9">
        <v>105.2</v>
      </c>
      <c r="AH9">
        <v>312.10000000000002</v>
      </c>
    </row>
    <row r="10" spans="1:34"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v>1384.0000000000002</v>
      </c>
      <c r="AF10">
        <v>530.29999999999995</v>
      </c>
      <c r="AG10">
        <v>104.9</v>
      </c>
      <c r="AH10">
        <v>312.10000000000002</v>
      </c>
    </row>
    <row r="11" spans="1:34"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c r="AE11">
        <v>1385.8</v>
      </c>
      <c r="AF11">
        <v>532.69999999999993</v>
      </c>
      <c r="AG11">
        <v>105.1</v>
      </c>
      <c r="AH11">
        <v>212.6</v>
      </c>
    </row>
    <row r="12" spans="1:34"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v>1397.6999999999998</v>
      </c>
      <c r="AF12">
        <v>532.20000000000005</v>
      </c>
      <c r="AG12">
        <v>105.7</v>
      </c>
      <c r="AH12">
        <v>313.39999999999998</v>
      </c>
    </row>
    <row r="13" spans="1:34"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v>1390.2</v>
      </c>
      <c r="AF13">
        <v>532.59999999999991</v>
      </c>
      <c r="AG13">
        <v>105.3</v>
      </c>
      <c r="AH13">
        <v>313.3</v>
      </c>
    </row>
    <row r="14" spans="1:34"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c r="AE14">
        <v>1394</v>
      </c>
      <c r="AF14">
        <v>534.9</v>
      </c>
      <c r="AG14">
        <v>105.7</v>
      </c>
      <c r="AH14">
        <v>214.3</v>
      </c>
    </row>
    <row r="15" spans="1:34"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v>1417.1999999999998</v>
      </c>
      <c r="AF15">
        <v>533.1</v>
      </c>
      <c r="AG15">
        <v>106.2</v>
      </c>
      <c r="AH15">
        <v>314.79999999999995</v>
      </c>
    </row>
    <row r="16" spans="1:34"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v>1402.1999999999998</v>
      </c>
      <c r="AF16">
        <v>534.20000000000005</v>
      </c>
      <c r="AG16">
        <v>105.9</v>
      </c>
      <c r="AH16">
        <v>314.8</v>
      </c>
    </row>
    <row r="17" spans="1:34"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c r="AE17">
        <v>1420</v>
      </c>
      <c r="AF17">
        <v>539.5</v>
      </c>
      <c r="AG17">
        <v>106.3</v>
      </c>
      <c r="AH17">
        <v>216</v>
      </c>
    </row>
    <row r="18" spans="1:34"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v>1464.6000000000001</v>
      </c>
      <c r="AF18">
        <v>538.6</v>
      </c>
      <c r="AG18">
        <v>106.5</v>
      </c>
      <c r="AH18">
        <v>322.3</v>
      </c>
    </row>
    <row r="19" spans="1:34"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v>1436</v>
      </c>
      <c r="AF19">
        <v>539.4</v>
      </c>
      <c r="AG19">
        <v>106.4</v>
      </c>
      <c r="AH19">
        <v>322.5</v>
      </c>
    </row>
    <row r="20" spans="1:34"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c r="AE20">
        <v>1445.8999999999996</v>
      </c>
      <c r="AF20">
        <v>544.9</v>
      </c>
      <c r="AG20">
        <v>106.9</v>
      </c>
      <c r="AH20">
        <v>217.8</v>
      </c>
    </row>
    <row r="21" spans="1:34"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v>1489.4</v>
      </c>
      <c r="AF21">
        <v>544.5</v>
      </c>
      <c r="AG21">
        <v>107.1</v>
      </c>
      <c r="AH21">
        <v>324.39999999999998</v>
      </c>
    </row>
    <row r="22" spans="1:34"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v>1461.3999999999999</v>
      </c>
      <c r="AF22">
        <v>545.20000000000005</v>
      </c>
      <c r="AG22">
        <v>107</v>
      </c>
      <c r="AH22">
        <v>325.10000000000002</v>
      </c>
    </row>
    <row r="23" spans="1:34"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c r="AE23">
        <v>1462.5</v>
      </c>
      <c r="AF23">
        <v>549.1</v>
      </c>
      <c r="AG23">
        <v>107.5</v>
      </c>
      <c r="AH23">
        <v>218.60000000000002</v>
      </c>
    </row>
    <row r="24" spans="1:34"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v>1506.1000000000001</v>
      </c>
      <c r="AF24">
        <v>547.99999999999989</v>
      </c>
      <c r="AG24">
        <v>107.6</v>
      </c>
      <c r="AH24">
        <v>326.89999999999998</v>
      </c>
    </row>
    <row r="25" spans="1:34"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v>1477.4</v>
      </c>
      <c r="AF25">
        <v>549</v>
      </c>
      <c r="AG25">
        <v>107.5</v>
      </c>
      <c r="AH25">
        <v>327.3</v>
      </c>
    </row>
    <row r="26" spans="1:34"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c r="AE26">
        <v>1488.5000000000002</v>
      </c>
      <c r="AF26">
        <v>555.70000000000005</v>
      </c>
      <c r="AG26">
        <v>108.3</v>
      </c>
      <c r="AH26">
        <v>220.7</v>
      </c>
    </row>
    <row r="27" spans="1:34"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v>1500.4</v>
      </c>
      <c r="AF27">
        <v>553.1</v>
      </c>
      <c r="AG27">
        <v>107.9</v>
      </c>
      <c r="AH27">
        <v>328.79999999999995</v>
      </c>
    </row>
    <row r="28" spans="1:34"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v>1491.6999999999998</v>
      </c>
      <c r="AF28">
        <v>555</v>
      </c>
      <c r="AG28">
        <v>108.1</v>
      </c>
      <c r="AH28">
        <v>329.79999999999995</v>
      </c>
    </row>
    <row r="29" spans="1:34"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c r="AE29">
        <v>1508</v>
      </c>
      <c r="AF29">
        <v>558.79999999999995</v>
      </c>
      <c r="AG29">
        <v>108.9</v>
      </c>
      <c r="AH29">
        <v>222</v>
      </c>
    </row>
    <row r="30" spans="1:34"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v>1517.1999999999998</v>
      </c>
      <c r="AF30">
        <v>555.19999999999993</v>
      </c>
      <c r="AG30">
        <v>108.2</v>
      </c>
      <c r="AH30">
        <v>330.4</v>
      </c>
    </row>
    <row r="31" spans="1:34"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v>1510.2000000000003</v>
      </c>
      <c r="AF31">
        <v>557.5</v>
      </c>
      <c r="AG31">
        <v>108.6</v>
      </c>
      <c r="AH31">
        <v>331.7</v>
      </c>
    </row>
    <row r="32" spans="1:34"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c r="AE32">
        <v>1536.8</v>
      </c>
      <c r="AF32">
        <v>562.70000000000005</v>
      </c>
      <c r="AG32">
        <v>109.7</v>
      </c>
      <c r="AH32">
        <v>223.89999999999998</v>
      </c>
    </row>
    <row r="33" spans="1:34"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v>1544.6</v>
      </c>
      <c r="AF33">
        <v>557.6</v>
      </c>
      <c r="AG33">
        <v>108.6</v>
      </c>
      <c r="AH33">
        <v>332</v>
      </c>
    </row>
    <row r="34" spans="1:34"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v>1538.8</v>
      </c>
      <c r="AF34">
        <v>560.6</v>
      </c>
      <c r="AG34">
        <v>109.3</v>
      </c>
      <c r="AH34">
        <v>333.79999999999995</v>
      </c>
    </row>
    <row r="35" spans="1:34"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c r="AE35">
        <v>1509</v>
      </c>
      <c r="AF35">
        <v>566.80000000000007</v>
      </c>
      <c r="AG35">
        <v>110.1</v>
      </c>
      <c r="AH35">
        <v>224.89999999999998</v>
      </c>
    </row>
    <row r="36" spans="1:34"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v>1504.4</v>
      </c>
      <c r="AF36">
        <v>559.9</v>
      </c>
      <c r="AG36">
        <v>109</v>
      </c>
      <c r="AH36">
        <v>332.40000000000003</v>
      </c>
    </row>
    <row r="37" spans="1:34"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v>1507.3000000000002</v>
      </c>
      <c r="AF37">
        <v>564</v>
      </c>
      <c r="AG37">
        <v>109.7</v>
      </c>
      <c r="AH37">
        <v>334.3</v>
      </c>
    </row>
    <row r="38" spans="1:34"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c r="AE38">
        <v>1486.6000000000001</v>
      </c>
      <c r="AF38">
        <v>569.5</v>
      </c>
      <c r="AG38">
        <v>110.6</v>
      </c>
      <c r="AH38">
        <v>225.6</v>
      </c>
    </row>
    <row r="39" spans="1:34"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v>1484.3</v>
      </c>
      <c r="AF39">
        <v>562.70000000000005</v>
      </c>
      <c r="AG39">
        <v>109.7</v>
      </c>
      <c r="AH39">
        <v>334.5</v>
      </c>
    </row>
    <row r="40" spans="1:34"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v>1485.7999999999997</v>
      </c>
      <c r="AF40">
        <v>566.69999999999993</v>
      </c>
      <c r="AG40">
        <v>110.3</v>
      </c>
      <c r="AH40">
        <v>336.1</v>
      </c>
    </row>
    <row r="41" spans="1:34"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c r="AE41">
        <v>1482.2</v>
      </c>
      <c r="AF41">
        <v>571.1</v>
      </c>
      <c r="AG41">
        <v>110.9</v>
      </c>
      <c r="AH41">
        <v>226.10000000000002</v>
      </c>
    </row>
    <row r="42" spans="1:34"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v>1476</v>
      </c>
      <c r="AF42">
        <v>564.6</v>
      </c>
      <c r="AG42">
        <v>110.4</v>
      </c>
      <c r="AH42">
        <v>336.2</v>
      </c>
    </row>
    <row r="43" spans="1:34"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v>1480.1</v>
      </c>
      <c r="AF43">
        <v>568.5</v>
      </c>
      <c r="AG43">
        <v>110.7</v>
      </c>
      <c r="AH43">
        <v>337.7</v>
      </c>
    </row>
    <row r="44" spans="1:34"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c r="AE44">
        <v>1491.4</v>
      </c>
      <c r="AF44">
        <v>573.20000000000005</v>
      </c>
      <c r="AG44">
        <v>111.4</v>
      </c>
      <c r="AH44">
        <v>226.8</v>
      </c>
    </row>
    <row r="45" spans="1:34"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v>1483</v>
      </c>
      <c r="AF45">
        <v>566.49999999999989</v>
      </c>
      <c r="AG45">
        <v>110.8</v>
      </c>
      <c r="AH45">
        <v>337.1</v>
      </c>
    </row>
    <row r="46" spans="1:34"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v>1488.2999999999997</v>
      </c>
      <c r="AF46">
        <v>570.29999999999995</v>
      </c>
      <c r="AG46">
        <v>111.2</v>
      </c>
      <c r="AH46">
        <v>338.9</v>
      </c>
    </row>
    <row r="47" spans="1:34"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c r="AE47">
        <v>1504.1000000000001</v>
      </c>
      <c r="AF47">
        <v>576.20000000000005</v>
      </c>
      <c r="AG47">
        <v>111.8</v>
      </c>
      <c r="AH47">
        <v>227.10000000000002</v>
      </c>
    </row>
    <row r="48" spans="1:34"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v>1504.0000000000002</v>
      </c>
      <c r="AF48">
        <v>568.20000000000005</v>
      </c>
      <c r="AG48">
        <v>111</v>
      </c>
      <c r="AH48">
        <v>338.20000000000005</v>
      </c>
    </row>
    <row r="49" spans="1:34"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v>1504.1</v>
      </c>
      <c r="AF49">
        <v>572.9</v>
      </c>
      <c r="AG49">
        <v>111.5</v>
      </c>
      <c r="AH49">
        <v>340</v>
      </c>
    </row>
    <row r="50" spans="1:34"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c r="AE50">
        <v>1513.8999999999999</v>
      </c>
      <c r="AF50">
        <v>578.5</v>
      </c>
      <c r="AG50">
        <v>112.1</v>
      </c>
      <c r="AH50">
        <v>227.5</v>
      </c>
    </row>
    <row r="51" spans="1:34"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v>1525.3000000000002</v>
      </c>
      <c r="AF51">
        <v>570.1</v>
      </c>
      <c r="AG51">
        <v>111.2</v>
      </c>
      <c r="AH51">
        <v>339.5</v>
      </c>
    </row>
    <row r="52" spans="1:34"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v>1518.5000000000005</v>
      </c>
      <c r="AF52">
        <v>575.09999999999991</v>
      </c>
      <c r="AG52">
        <v>111.8</v>
      </c>
      <c r="AH52">
        <v>340.9</v>
      </c>
    </row>
    <row r="53" spans="1:34"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c r="AE53">
        <v>1525.6999999999998</v>
      </c>
      <c r="AF53">
        <v>582.79999999999995</v>
      </c>
      <c r="AG53">
        <v>112.8</v>
      </c>
      <c r="AH53">
        <v>229.3</v>
      </c>
    </row>
    <row r="54" spans="1:34"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v>1547</v>
      </c>
      <c r="AF54">
        <v>573.9</v>
      </c>
      <c r="AG54">
        <v>111.4</v>
      </c>
      <c r="AH54">
        <v>339.40000000000003</v>
      </c>
    </row>
    <row r="55" spans="1:34"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v>1533.7000000000003</v>
      </c>
      <c r="AF55">
        <v>579.29999999999995</v>
      </c>
      <c r="AG55">
        <v>112.3</v>
      </c>
      <c r="AH55">
        <v>341.70000000000005</v>
      </c>
    </row>
    <row r="56" spans="1:34"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c r="AE56">
        <v>1563.2</v>
      </c>
      <c r="AF56">
        <v>588</v>
      </c>
      <c r="AG56">
        <v>113.4</v>
      </c>
      <c r="AH56">
        <v>230.7</v>
      </c>
    </row>
    <row r="57" spans="1:34"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v>1599.5</v>
      </c>
      <c r="AF57">
        <v>579.79999999999995</v>
      </c>
      <c r="AG57">
        <v>111.5</v>
      </c>
      <c r="AH57">
        <v>341.29999999999995</v>
      </c>
    </row>
    <row r="58" spans="1:34"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v>1576.3</v>
      </c>
      <c r="AF58">
        <v>584.9</v>
      </c>
      <c r="AG58">
        <v>112.7</v>
      </c>
      <c r="AH58">
        <v>343.9</v>
      </c>
    </row>
    <row r="59" spans="1:34"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c r="AE59">
        <v>1582.2999999999997</v>
      </c>
      <c r="AF59">
        <v>589.79999999999995</v>
      </c>
      <c r="AG59">
        <v>114</v>
      </c>
      <c r="AH59">
        <v>231.3</v>
      </c>
    </row>
    <row r="60" spans="1:34"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v>1617</v>
      </c>
      <c r="AF60">
        <v>582.30000000000007</v>
      </c>
      <c r="AG60">
        <v>112.2</v>
      </c>
      <c r="AH60">
        <v>342.6</v>
      </c>
    </row>
    <row r="61" spans="1:34"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v>1594.4999999999998</v>
      </c>
      <c r="AF61">
        <v>587.20000000000005</v>
      </c>
      <c r="AG61">
        <v>113.3</v>
      </c>
      <c r="AH61">
        <v>345.1</v>
      </c>
    </row>
    <row r="62" spans="1:34"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c r="AE62">
        <v>1583.2</v>
      </c>
      <c r="AF62">
        <v>591.6</v>
      </c>
      <c r="AG62">
        <v>114.5</v>
      </c>
      <c r="AH62">
        <v>232.5</v>
      </c>
    </row>
    <row r="63" spans="1:34"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v>1593.7000000000003</v>
      </c>
      <c r="AF63">
        <v>583.29999999999995</v>
      </c>
      <c r="AG63">
        <v>112.3</v>
      </c>
      <c r="AH63">
        <v>343.4</v>
      </c>
    </row>
    <row r="64" spans="1:34"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v>1586.0999999999997</v>
      </c>
      <c r="AF64">
        <v>588.6</v>
      </c>
      <c r="AG64">
        <v>113.7</v>
      </c>
      <c r="AH64">
        <v>346.5</v>
      </c>
    </row>
    <row r="65" spans="1:34"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c r="AE65">
        <v>1581.1999999999998</v>
      </c>
      <c r="AF65">
        <v>594.79999999999995</v>
      </c>
      <c r="AG65">
        <v>115.3</v>
      </c>
      <c r="AH65">
        <v>233.9</v>
      </c>
    </row>
    <row r="66" spans="1:34"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v>1587.5</v>
      </c>
      <c r="AF66">
        <v>584.6</v>
      </c>
      <c r="AG66">
        <v>112.6</v>
      </c>
      <c r="AH66">
        <v>344.5</v>
      </c>
    </row>
    <row r="67" spans="1:34"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v>1582.7</v>
      </c>
      <c r="AF67">
        <v>591.20000000000005</v>
      </c>
      <c r="AG67">
        <v>114.3</v>
      </c>
      <c r="AH67">
        <v>348.1</v>
      </c>
    </row>
    <row r="68" spans="1:34"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c r="AE68">
        <v>1582</v>
      </c>
      <c r="AF68">
        <v>595.90000000000009</v>
      </c>
      <c r="AG68">
        <v>115.9</v>
      </c>
      <c r="AH68">
        <v>235.39999999999998</v>
      </c>
    </row>
    <row r="69" spans="1:34"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v>1587.8</v>
      </c>
      <c r="AF69">
        <v>585.19999999999993</v>
      </c>
      <c r="AG69">
        <v>113</v>
      </c>
      <c r="AH69">
        <v>346.1</v>
      </c>
    </row>
    <row r="70" spans="1:34"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v>1583.2</v>
      </c>
      <c r="AF70">
        <v>591.90000000000009</v>
      </c>
      <c r="AG70">
        <v>114.8</v>
      </c>
      <c r="AH70">
        <v>349.9</v>
      </c>
    </row>
    <row r="71" spans="1:34"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c r="AE71">
        <v>1569.6</v>
      </c>
      <c r="AF71">
        <v>596.9</v>
      </c>
      <c r="AG71">
        <v>116.2</v>
      </c>
      <c r="AH71">
        <v>235.60000000000002</v>
      </c>
    </row>
    <row r="72" spans="1:34"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v>1577.1999999999998</v>
      </c>
      <c r="AF72">
        <v>586</v>
      </c>
      <c r="AG72">
        <v>113.2</v>
      </c>
      <c r="AH72">
        <v>346.3</v>
      </c>
    </row>
    <row r="73" spans="1:34"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v>1571.6999999999998</v>
      </c>
      <c r="AF73">
        <v>592.79999999999995</v>
      </c>
      <c r="AG73">
        <v>115.1</v>
      </c>
      <c r="AH73">
        <v>349.7</v>
      </c>
    </row>
    <row r="74" spans="1:34"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c r="AE74">
        <v>1568.1</v>
      </c>
      <c r="AF74">
        <v>599.20000000000005</v>
      </c>
      <c r="AG74">
        <v>116.6</v>
      </c>
      <c r="AH74">
        <v>237.3</v>
      </c>
    </row>
    <row r="75" spans="1:34"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v>1574.8999999999999</v>
      </c>
      <c r="AF75">
        <v>586</v>
      </c>
      <c r="AG75">
        <v>113.7</v>
      </c>
      <c r="AH75">
        <v>347.9</v>
      </c>
    </row>
    <row r="76" spans="1:34"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v>1569.3</v>
      </c>
      <c r="AF76">
        <v>594</v>
      </c>
      <c r="AG76">
        <v>115.5</v>
      </c>
      <c r="AH76">
        <v>351.9</v>
      </c>
    </row>
    <row r="77" spans="1:34"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c r="AE77">
        <v>1570.5999999999997</v>
      </c>
      <c r="AF77">
        <v>602.70000000000005</v>
      </c>
      <c r="AG77">
        <v>117.7</v>
      </c>
      <c r="AH77">
        <v>239.6</v>
      </c>
    </row>
    <row r="78" spans="1:34"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v>1571.1000000000001</v>
      </c>
      <c r="AF78">
        <v>585.6</v>
      </c>
      <c r="AG78">
        <v>114.1</v>
      </c>
      <c r="AH78">
        <v>349.8</v>
      </c>
    </row>
    <row r="79" spans="1:34"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v>1569.3999999999996</v>
      </c>
      <c r="AF79">
        <v>595.6</v>
      </c>
      <c r="AG79">
        <v>116.3</v>
      </c>
      <c r="AH79">
        <v>354.5</v>
      </c>
    </row>
    <row r="80" spans="1:34"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c r="AE80">
        <v>1571.5</v>
      </c>
      <c r="AF80">
        <v>605.4</v>
      </c>
      <c r="AG80">
        <v>118.2</v>
      </c>
      <c r="AH80">
        <v>240.8</v>
      </c>
    </row>
    <row r="81" spans="1:34"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v>1568.0000000000002</v>
      </c>
      <c r="AF81">
        <v>588.5</v>
      </c>
      <c r="AG81">
        <v>114.3</v>
      </c>
      <c r="AH81">
        <v>351</v>
      </c>
    </row>
    <row r="82" spans="1:34"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v>1569.1</v>
      </c>
      <c r="AF82">
        <v>598.4</v>
      </c>
      <c r="AG82">
        <v>116.7</v>
      </c>
      <c r="AH82">
        <v>356.09999999999997</v>
      </c>
    </row>
    <row r="83" spans="1:34"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c r="AE83">
        <v>1577.2</v>
      </c>
      <c r="AF83">
        <v>607.5</v>
      </c>
      <c r="AG83">
        <v>118.6</v>
      </c>
      <c r="AH83">
        <v>242.10000000000002</v>
      </c>
    </row>
    <row r="84" spans="1:34"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v>1576.1</v>
      </c>
      <c r="AF84">
        <v>590.70000000000005</v>
      </c>
      <c r="AG84">
        <v>114.6</v>
      </c>
      <c r="AH84">
        <v>352.3</v>
      </c>
    </row>
    <row r="85" spans="1:34"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v>1575.7</v>
      </c>
      <c r="AF85">
        <v>600.70000000000005</v>
      </c>
      <c r="AG85">
        <v>117.1</v>
      </c>
      <c r="AH85">
        <v>357.6</v>
      </c>
    </row>
    <row r="86" spans="1:34"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c r="AE86">
        <v>1587.7</v>
      </c>
      <c r="AF86">
        <v>612</v>
      </c>
      <c r="AG86">
        <v>119.4</v>
      </c>
      <c r="AH86">
        <v>243.4</v>
      </c>
    </row>
    <row r="87" spans="1:34"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v>1598.9</v>
      </c>
      <c r="AF87">
        <v>594.20000000000005</v>
      </c>
      <c r="AG87">
        <v>114.9</v>
      </c>
      <c r="AH87">
        <v>353.2</v>
      </c>
    </row>
    <row r="88" spans="1:34"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v>1590.4</v>
      </c>
      <c r="AF88">
        <v>604.79999999999995</v>
      </c>
      <c r="AG88">
        <v>117.7</v>
      </c>
      <c r="AH88">
        <v>359</v>
      </c>
    </row>
    <row r="89" spans="1:34"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c r="AE89">
        <v>1617.8999999999999</v>
      </c>
      <c r="AF89">
        <v>617.70000000000005</v>
      </c>
      <c r="AG89">
        <v>120.4</v>
      </c>
      <c r="AH89">
        <v>245.39999999999998</v>
      </c>
    </row>
    <row r="90" spans="1:34"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v>1636.6</v>
      </c>
      <c r="AF90">
        <v>598.6</v>
      </c>
      <c r="AG90">
        <v>115.4</v>
      </c>
      <c r="AH90">
        <v>353.3</v>
      </c>
    </row>
    <row r="91" spans="1:34"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v>1623.5</v>
      </c>
      <c r="AF91">
        <v>610.1</v>
      </c>
      <c r="AG91">
        <v>118.5</v>
      </c>
      <c r="AH91">
        <v>359.9</v>
      </c>
    </row>
    <row r="92" spans="1:34"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c r="AE92">
        <v>1625.3</v>
      </c>
      <c r="AF92">
        <v>619.6</v>
      </c>
      <c r="AG92">
        <v>120.8</v>
      </c>
      <c r="AH92">
        <v>246</v>
      </c>
    </row>
    <row r="93" spans="1:34"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v>1642.8999999999999</v>
      </c>
      <c r="AF93">
        <v>601</v>
      </c>
      <c r="AG93">
        <v>116</v>
      </c>
      <c r="AH93">
        <v>354.7</v>
      </c>
    </row>
    <row r="94" spans="1:34"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v>1630.6000000000001</v>
      </c>
      <c r="AF94">
        <v>612.20000000000005</v>
      </c>
      <c r="AG94">
        <v>119</v>
      </c>
      <c r="AH94">
        <v>361.3</v>
      </c>
    </row>
    <row r="95" spans="1:34"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c r="AE95">
        <v>1646.6</v>
      </c>
      <c r="AF95">
        <v>622</v>
      </c>
      <c r="AG95">
        <v>121.1</v>
      </c>
      <c r="AH95">
        <v>247.5</v>
      </c>
    </row>
    <row r="96" spans="1:34"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v>1658.8999999999999</v>
      </c>
      <c r="AF96">
        <v>600.90000000000009</v>
      </c>
      <c r="AG96">
        <v>116.6</v>
      </c>
      <c r="AH96">
        <v>356.2</v>
      </c>
    </row>
    <row r="97" spans="1:34"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v>1649.6</v>
      </c>
      <c r="AF97">
        <v>613.5</v>
      </c>
      <c r="AG97">
        <v>119.4</v>
      </c>
      <c r="AH97">
        <v>363.5</v>
      </c>
    </row>
    <row r="98" spans="1:34"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c r="AE98">
        <v>1657.6000000000001</v>
      </c>
      <c r="AF98">
        <v>625.40000000000009</v>
      </c>
      <c r="AG98">
        <v>121.4</v>
      </c>
      <c r="AH98">
        <v>248.2</v>
      </c>
    </row>
    <row r="99" spans="1:34"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v>1664.8</v>
      </c>
      <c r="AF99">
        <v>601.4</v>
      </c>
      <c r="AG99">
        <v>117.1</v>
      </c>
      <c r="AH99">
        <v>357.1</v>
      </c>
    </row>
    <row r="100" spans="1:34"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v>1658.3000000000002</v>
      </c>
      <c r="AF100">
        <v>615.5</v>
      </c>
      <c r="AG100">
        <v>119.8</v>
      </c>
      <c r="AH100">
        <v>364.6</v>
      </c>
    </row>
    <row r="101" spans="1:34"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c r="AE101">
        <v>1674.6</v>
      </c>
      <c r="AF101">
        <v>627.9</v>
      </c>
      <c r="AG101">
        <v>122</v>
      </c>
      <c r="AH101">
        <v>249.5</v>
      </c>
    </row>
    <row r="102" spans="1:34"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v>1692.8000000000002</v>
      </c>
      <c r="AF102">
        <v>602.59999999999991</v>
      </c>
      <c r="AG102">
        <v>117.7</v>
      </c>
      <c r="AH102">
        <v>358</v>
      </c>
    </row>
    <row r="103" spans="1:34"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v>1678.9999999999998</v>
      </c>
      <c r="AF103">
        <v>617.4</v>
      </c>
      <c r="AG103">
        <v>120.4</v>
      </c>
      <c r="AH103">
        <v>366.2</v>
      </c>
    </row>
    <row r="104" spans="1:34"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c r="AE104">
        <v>1686.3</v>
      </c>
      <c r="AF104">
        <v>631.59999999999991</v>
      </c>
      <c r="AG104">
        <v>122.6</v>
      </c>
      <c r="AH104">
        <v>251.2</v>
      </c>
    </row>
    <row r="105" spans="1:34"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v>1708.4999999999998</v>
      </c>
      <c r="AF105">
        <v>604.4</v>
      </c>
      <c r="AG105">
        <v>118.1</v>
      </c>
      <c r="AH105">
        <v>359</v>
      </c>
    </row>
    <row r="106" spans="1:34"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v>1692.1</v>
      </c>
      <c r="AF106">
        <v>620.19999999999993</v>
      </c>
      <c r="AG106">
        <v>120.9</v>
      </c>
      <c r="AH106">
        <v>367.9</v>
      </c>
    </row>
    <row r="107" spans="1:34"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c r="AE107">
        <v>1682.3000000000002</v>
      </c>
      <c r="AF107">
        <v>632.5</v>
      </c>
      <c r="AG107">
        <v>123.1</v>
      </c>
      <c r="AH107">
        <v>251.7</v>
      </c>
    </row>
    <row r="108" spans="1:34"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v>1698.8</v>
      </c>
      <c r="AF108">
        <v>605.29999999999995</v>
      </c>
      <c r="AG108">
        <v>118.6</v>
      </c>
      <c r="AH108">
        <v>359.4</v>
      </c>
    </row>
    <row r="109" spans="1:34"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v>1686.1000000000001</v>
      </c>
      <c r="AF109">
        <v>621.20000000000005</v>
      </c>
      <c r="AG109">
        <v>121.4</v>
      </c>
      <c r="AH109">
        <v>368</v>
      </c>
    </row>
    <row r="110" spans="1:34"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c r="AE110">
        <v>1690.1000000000001</v>
      </c>
      <c r="AF110">
        <v>634.50000000000011</v>
      </c>
      <c r="AG110">
        <v>123.7</v>
      </c>
      <c r="AH110">
        <v>252.8</v>
      </c>
    </row>
    <row r="111" spans="1:34"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v>1701.4</v>
      </c>
      <c r="AF111">
        <v>605.79999999999995</v>
      </c>
      <c r="AG111">
        <v>119.1</v>
      </c>
      <c r="AH111">
        <v>361.9</v>
      </c>
    </row>
    <row r="112" spans="1:34"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v>1691.7</v>
      </c>
      <c r="AF112">
        <v>622.29999999999995</v>
      </c>
      <c r="AG112">
        <v>122</v>
      </c>
      <c r="AH112">
        <v>370.3</v>
      </c>
    </row>
    <row r="113" spans="1:34"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c r="AE113">
        <v>1682.6</v>
      </c>
      <c r="AF113">
        <v>638.1</v>
      </c>
      <c r="AG113">
        <v>124.3</v>
      </c>
      <c r="AH113">
        <v>254.6</v>
      </c>
    </row>
    <row r="114" spans="1:34"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v>1676.1</v>
      </c>
      <c r="AF114">
        <v>607</v>
      </c>
      <c r="AG114">
        <v>119.5</v>
      </c>
      <c r="AH114">
        <v>362.2</v>
      </c>
    </row>
    <row r="115" spans="1:34"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v>1678.1</v>
      </c>
      <c r="AF115">
        <v>624.9</v>
      </c>
      <c r="AG115">
        <v>122.5</v>
      </c>
      <c r="AH115">
        <v>372.1</v>
      </c>
    </row>
    <row r="116" spans="1:34"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c r="AE116">
        <v>1682.7000000000003</v>
      </c>
      <c r="AF116">
        <v>639.5</v>
      </c>
      <c r="AG116">
        <v>124.8</v>
      </c>
      <c r="AH116">
        <v>254.7</v>
      </c>
    </row>
    <row r="117" spans="1:34"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v>1667.6000000000001</v>
      </c>
      <c r="AF117">
        <v>607.1</v>
      </c>
      <c r="AG117">
        <v>119.7</v>
      </c>
      <c r="AH117">
        <v>362</v>
      </c>
    </row>
    <row r="118" spans="1:34"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v>1675.2</v>
      </c>
      <c r="AF118">
        <v>625.69999999999993</v>
      </c>
      <c r="AG118">
        <v>122.9</v>
      </c>
      <c r="AH118">
        <v>372.4</v>
      </c>
    </row>
    <row r="119" spans="1:34"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c r="AE119">
        <v>1701.6000000000004</v>
      </c>
      <c r="AF119">
        <v>642.29999999999995</v>
      </c>
      <c r="AG119">
        <v>125.2</v>
      </c>
      <c r="AH119">
        <v>255</v>
      </c>
    </row>
    <row r="120" spans="1:34"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v>1706.3</v>
      </c>
      <c r="AF120">
        <v>610.70000000000005</v>
      </c>
      <c r="AG120">
        <v>120</v>
      </c>
      <c r="AH120">
        <v>363</v>
      </c>
    </row>
    <row r="121" spans="1:34"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v>1701.3</v>
      </c>
      <c r="AF121">
        <v>629.00000000000011</v>
      </c>
      <c r="AG121">
        <v>123.2</v>
      </c>
      <c r="AH121">
        <v>373.4</v>
      </c>
    </row>
    <row r="122" spans="1:34"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c r="AE122">
        <v>1723.6999999999998</v>
      </c>
      <c r="AF122">
        <v>645.5</v>
      </c>
      <c r="AG122">
        <v>125.8</v>
      </c>
      <c r="AH122">
        <v>255.9</v>
      </c>
    </row>
    <row r="123" spans="1:34"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v>1746.7999999999997</v>
      </c>
      <c r="AF123">
        <v>612.79999999999995</v>
      </c>
      <c r="AG123">
        <v>120.3</v>
      </c>
      <c r="AH123">
        <v>364.2</v>
      </c>
    </row>
    <row r="124" spans="1:34"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v>1730.4</v>
      </c>
      <c r="AF124">
        <v>631.70000000000005</v>
      </c>
      <c r="AG124">
        <v>123.7</v>
      </c>
      <c r="AH124">
        <v>374.7</v>
      </c>
    </row>
    <row r="125" spans="1:34"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c r="AE125">
        <v>1748.6</v>
      </c>
      <c r="AF125">
        <v>650</v>
      </c>
      <c r="AG125">
        <v>126.2</v>
      </c>
      <c r="AH125">
        <v>257.3</v>
      </c>
    </row>
    <row r="126" spans="1:34"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v>1787.0000000000002</v>
      </c>
      <c r="AF126">
        <v>616.9</v>
      </c>
      <c r="AG126">
        <v>120.6</v>
      </c>
      <c r="AH126">
        <v>364.2</v>
      </c>
    </row>
    <row r="127" spans="1:34"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v>1760.6</v>
      </c>
      <c r="AF127">
        <v>636</v>
      </c>
      <c r="AG127">
        <v>124.1</v>
      </c>
      <c r="AH127">
        <v>375.20000000000005</v>
      </c>
    </row>
    <row r="128" spans="1:34"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c r="AE128">
        <v>1770.2999999999997</v>
      </c>
      <c r="AF128">
        <v>653.09999999999991</v>
      </c>
      <c r="AG128">
        <v>126.7</v>
      </c>
      <c r="AH128">
        <v>258.2</v>
      </c>
    </row>
    <row r="129" spans="1:34"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v>1811.5000000000002</v>
      </c>
      <c r="AF129">
        <v>618.4</v>
      </c>
      <c r="AG129">
        <v>120.9</v>
      </c>
      <c r="AH129">
        <v>365.4</v>
      </c>
    </row>
    <row r="130" spans="1:34"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v>1783.5</v>
      </c>
      <c r="AF130">
        <v>638.5</v>
      </c>
      <c r="AG130">
        <v>124.5</v>
      </c>
      <c r="AH130">
        <v>376.70000000000005</v>
      </c>
    </row>
    <row r="131" spans="1:34"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c r="AE131">
        <v>1777.4999999999998</v>
      </c>
      <c r="AF131">
        <v>655.8</v>
      </c>
      <c r="AG131">
        <v>127</v>
      </c>
      <c r="AH131">
        <v>259.7</v>
      </c>
    </row>
    <row r="132" spans="1:34"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v>1783.9999999999995</v>
      </c>
      <c r="AF132">
        <v>618.9</v>
      </c>
      <c r="AG132">
        <v>121.2</v>
      </c>
      <c r="AH132">
        <v>365.9</v>
      </c>
    </row>
    <row r="133" spans="1:34"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v>1777.9</v>
      </c>
      <c r="AF133">
        <v>640.29999999999995</v>
      </c>
      <c r="AG133">
        <v>124.8</v>
      </c>
      <c r="AH133">
        <v>378.29999999999995</v>
      </c>
    </row>
    <row r="134" spans="1:34"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c r="AE134">
        <v>1770.7</v>
      </c>
      <c r="AF134">
        <v>659</v>
      </c>
      <c r="AG134">
        <v>127.8</v>
      </c>
      <c r="AH134">
        <v>260.79999999999995</v>
      </c>
    </row>
    <row r="135" spans="1:34"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v>1756.3999999999996</v>
      </c>
      <c r="AF135">
        <v>621.4</v>
      </c>
      <c r="AG135">
        <v>121.4</v>
      </c>
      <c r="AH135">
        <v>367</v>
      </c>
    </row>
    <row r="136" spans="1:34"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v>1763.6999999999998</v>
      </c>
      <c r="AF136">
        <v>643.1</v>
      </c>
      <c r="AG136">
        <v>125.4</v>
      </c>
      <c r="AH136">
        <v>379.9</v>
      </c>
    </row>
    <row r="137" spans="1:34"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c r="AE137">
        <v>1771.8000000000002</v>
      </c>
      <c r="AF137">
        <v>663.5</v>
      </c>
      <c r="AG137">
        <v>128.69999999999999</v>
      </c>
      <c r="AH137">
        <v>261.60000000000002</v>
      </c>
    </row>
    <row r="138" spans="1:34"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v>1762.8999999999999</v>
      </c>
      <c r="AF138">
        <v>623.70000000000005</v>
      </c>
      <c r="AG138">
        <v>121.8</v>
      </c>
      <c r="AH138">
        <v>368.4</v>
      </c>
    </row>
    <row r="139" spans="1:34"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v>1766.7999999999995</v>
      </c>
      <c r="AF139">
        <v>646.70000000000005</v>
      </c>
      <c r="AG139">
        <v>126.1</v>
      </c>
      <c r="AH139">
        <v>381.4</v>
      </c>
    </row>
    <row r="140" spans="1:34"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c r="AE140">
        <v>1764.6</v>
      </c>
      <c r="AF140">
        <v>665.5</v>
      </c>
      <c r="AG140">
        <v>129.1</v>
      </c>
      <c r="AH140">
        <v>262.39999999999998</v>
      </c>
    </row>
    <row r="141" spans="1:34"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v>1755.2</v>
      </c>
      <c r="AF141">
        <v>625.70000000000005</v>
      </c>
      <c r="AG141">
        <v>122.1</v>
      </c>
      <c r="AH141">
        <v>370</v>
      </c>
    </row>
    <row r="142" spans="1:34"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v>1759.8</v>
      </c>
      <c r="AF142">
        <v>648.60000000000014</v>
      </c>
      <c r="AG142">
        <v>126.4</v>
      </c>
      <c r="AH142">
        <v>382.7</v>
      </c>
    </row>
    <row r="143" spans="1:34"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c r="AE143">
        <v>1749.1</v>
      </c>
      <c r="AF143">
        <v>668.09999999999991</v>
      </c>
      <c r="AG143">
        <v>129.69999999999999</v>
      </c>
      <c r="AH143">
        <v>264.89999999999998</v>
      </c>
    </row>
    <row r="144" spans="1:34"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v>1729.8</v>
      </c>
      <c r="AF144">
        <v>627</v>
      </c>
      <c r="AG144">
        <v>122.3</v>
      </c>
      <c r="AH144">
        <v>371.3</v>
      </c>
    </row>
    <row r="145" spans="1:34"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v>1740.7</v>
      </c>
      <c r="AF145">
        <v>650.6</v>
      </c>
      <c r="AG145">
        <v>126.9</v>
      </c>
      <c r="AH145">
        <v>384.29999999999995</v>
      </c>
    </row>
    <row r="146" spans="1:34"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c r="AE146">
        <v>1737.3000000000002</v>
      </c>
      <c r="AF146">
        <v>670.2</v>
      </c>
      <c r="AG146">
        <v>129.9</v>
      </c>
      <c r="AH146">
        <v>265.29999999999995</v>
      </c>
    </row>
    <row r="147" spans="1:34"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v>1713.2</v>
      </c>
      <c r="AF147">
        <v>629.1</v>
      </c>
      <c r="AG147">
        <v>122.6</v>
      </c>
      <c r="AH147">
        <v>372.7</v>
      </c>
    </row>
    <row r="148" spans="1:34"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v>1727.2999999999995</v>
      </c>
      <c r="AF148">
        <v>652.70000000000005</v>
      </c>
      <c r="AG148">
        <v>127.1</v>
      </c>
      <c r="AH148">
        <v>385.79999999999995</v>
      </c>
    </row>
    <row r="149" spans="1:34"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c r="AE149">
        <v>1734.5000000000002</v>
      </c>
      <c r="AF149">
        <v>671.30000000000007</v>
      </c>
      <c r="AG149">
        <v>130.1</v>
      </c>
      <c r="AH149">
        <v>266.79999999999995</v>
      </c>
    </row>
    <row r="150" spans="1:34"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v>1705.3000000000002</v>
      </c>
      <c r="AF150">
        <v>630.20000000000005</v>
      </c>
      <c r="AG150">
        <v>122.9</v>
      </c>
      <c r="AH150">
        <v>375</v>
      </c>
    </row>
    <row r="151" spans="1:34"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v>1722.3000000000002</v>
      </c>
      <c r="AF151">
        <v>653.79999999999995</v>
      </c>
      <c r="AG151">
        <v>127.4</v>
      </c>
      <c r="AH151">
        <v>388.09999999999997</v>
      </c>
    </row>
    <row r="152" spans="1:34"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c r="AE152">
        <v>1728.5000000000002</v>
      </c>
      <c r="AF152">
        <v>673.59999999999991</v>
      </c>
      <c r="AG152">
        <v>130.6</v>
      </c>
      <c r="AH152">
        <v>268.29999999999995</v>
      </c>
    </row>
    <row r="153" spans="1:34"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v>1705.6999999999998</v>
      </c>
      <c r="AF153">
        <v>631.60000000000014</v>
      </c>
      <c r="AG153">
        <v>123.1</v>
      </c>
      <c r="AH153">
        <v>377.5</v>
      </c>
    </row>
    <row r="154" spans="1:34"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v>1718.9</v>
      </c>
      <c r="AF154">
        <v>655.7</v>
      </c>
      <c r="AG154">
        <v>127.8</v>
      </c>
      <c r="AH154">
        <v>390.29999999999995</v>
      </c>
    </row>
    <row r="155" spans="1:34"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c r="AE155">
        <v>1726.3</v>
      </c>
      <c r="AF155">
        <v>675.7</v>
      </c>
      <c r="AG155">
        <v>131</v>
      </c>
      <c r="AH155">
        <v>269.3</v>
      </c>
    </row>
    <row r="156" spans="1:34"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v>1708.1</v>
      </c>
      <c r="AF156">
        <v>632.1</v>
      </c>
      <c r="AG156">
        <v>123.4</v>
      </c>
      <c r="AH156">
        <v>379.1</v>
      </c>
    </row>
    <row r="157" spans="1:34"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v>1718.4</v>
      </c>
      <c r="AF157">
        <v>657.2</v>
      </c>
      <c r="AG157">
        <v>128.1</v>
      </c>
      <c r="AH157">
        <v>391.9</v>
      </c>
    </row>
    <row r="158" spans="1:34"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c r="AE158">
        <v>1727.4999999999995</v>
      </c>
      <c r="AF158">
        <v>677.3</v>
      </c>
      <c r="AG158">
        <v>131.4</v>
      </c>
      <c r="AH158">
        <v>269.89999999999998</v>
      </c>
    </row>
    <row r="159" spans="1:34"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v>1709.6</v>
      </c>
      <c r="AF159">
        <v>633</v>
      </c>
      <c r="AG159">
        <v>123.6</v>
      </c>
      <c r="AH159">
        <v>378.7</v>
      </c>
    </row>
    <row r="160" spans="1:34"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v>1719.6000000000001</v>
      </c>
      <c r="AF160">
        <v>658.3</v>
      </c>
      <c r="AG160">
        <v>128.4</v>
      </c>
      <c r="AH160">
        <v>392.4</v>
      </c>
    </row>
    <row r="161" spans="1:34"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c r="AE161">
        <v>1738.8000000000002</v>
      </c>
      <c r="AF161">
        <v>679.4</v>
      </c>
      <c r="AG161">
        <v>131.30000000000001</v>
      </c>
      <c r="AH161">
        <v>270</v>
      </c>
    </row>
    <row r="162" spans="1:34"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v>1731.0000000000002</v>
      </c>
      <c r="AF162">
        <v>633.09999999999991</v>
      </c>
      <c r="AG162">
        <v>123.8</v>
      </c>
      <c r="AH162">
        <v>377.2</v>
      </c>
    </row>
    <row r="163" spans="1:34"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v>1734.7</v>
      </c>
      <c r="AF163">
        <v>659.6</v>
      </c>
      <c r="AG163">
        <v>128.5</v>
      </c>
      <c r="AH163">
        <v>391.40000000000003</v>
      </c>
    </row>
    <row r="164" spans="1:34"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c r="AE164">
        <v>1772.9</v>
      </c>
      <c r="AF164">
        <v>683.6</v>
      </c>
      <c r="AG164">
        <v>132.1</v>
      </c>
      <c r="AH164">
        <v>271.39999999999998</v>
      </c>
    </row>
    <row r="165" spans="1:34"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v>1768.1</v>
      </c>
      <c r="AF165">
        <v>634.40000000000009</v>
      </c>
      <c r="AG165">
        <v>125</v>
      </c>
      <c r="AH165">
        <v>379.5</v>
      </c>
    </row>
    <row r="166" spans="1:34"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v>1769.3999999999999</v>
      </c>
      <c r="AF166">
        <v>662.5</v>
      </c>
      <c r="AG166">
        <v>129.4</v>
      </c>
      <c r="AH166">
        <v>393.9</v>
      </c>
    </row>
    <row r="167" spans="1:34"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c r="AE167">
        <v>1792.4999999999998</v>
      </c>
      <c r="AF167">
        <v>689.5</v>
      </c>
      <c r="AG167">
        <v>133</v>
      </c>
      <c r="AH167">
        <v>273.70000000000005</v>
      </c>
    </row>
    <row r="168" spans="1:34"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v>1772.9999999999998</v>
      </c>
      <c r="AF168">
        <v>638.70000000000005</v>
      </c>
      <c r="AG168">
        <v>125.7</v>
      </c>
      <c r="AH168">
        <v>381</v>
      </c>
    </row>
    <row r="169" spans="1:34"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v>1783.8</v>
      </c>
      <c r="AF169">
        <v>667.5</v>
      </c>
      <c r="AG169">
        <v>130.19999999999999</v>
      </c>
      <c r="AH169">
        <v>397.00000000000006</v>
      </c>
    </row>
    <row r="170" spans="1:34"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c r="AE170">
        <v>1784.3</v>
      </c>
      <c r="AF170">
        <v>691.8</v>
      </c>
      <c r="AG170">
        <v>133.4</v>
      </c>
      <c r="AH170">
        <v>275.3</v>
      </c>
    </row>
    <row r="171" spans="1:34"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v>1749.7</v>
      </c>
      <c r="AF171">
        <v>641.5</v>
      </c>
      <c r="AG171">
        <v>126.1</v>
      </c>
      <c r="AH171">
        <v>384.4</v>
      </c>
    </row>
    <row r="172" spans="1:34"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v>1769.9999999999998</v>
      </c>
      <c r="AF172">
        <v>670.19999999999993</v>
      </c>
      <c r="AG172">
        <v>130.6</v>
      </c>
      <c r="AH172">
        <v>400</v>
      </c>
    </row>
    <row r="173" spans="1:34"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c r="AE173">
        <v>1790.8999999999999</v>
      </c>
      <c r="AF173">
        <v>695.1</v>
      </c>
      <c r="AG173">
        <v>134.19999999999999</v>
      </c>
      <c r="AH173">
        <v>276.5</v>
      </c>
    </row>
    <row r="174" spans="1:34"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v>1765.6999999999998</v>
      </c>
      <c r="AF174">
        <v>642.79999999999995</v>
      </c>
      <c r="AG174">
        <v>126.6</v>
      </c>
      <c r="AH174">
        <v>388.2</v>
      </c>
    </row>
    <row r="175" spans="1:34"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v>1779.6999999999998</v>
      </c>
      <c r="AF175">
        <v>672.6</v>
      </c>
      <c r="AG175">
        <v>131.30000000000001</v>
      </c>
      <c r="AH175">
        <v>403.1</v>
      </c>
    </row>
    <row r="176" spans="1:34"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c r="AE176">
        <v>1817.7000000000003</v>
      </c>
      <c r="AF176">
        <v>700.1</v>
      </c>
      <c r="AG176">
        <v>135.80000000000001</v>
      </c>
      <c r="AH176">
        <v>280.5</v>
      </c>
    </row>
    <row r="177" spans="1:34"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v>1796.7</v>
      </c>
      <c r="AF177">
        <v>645.79999999999995</v>
      </c>
      <c r="AG177">
        <v>127.4</v>
      </c>
      <c r="AH177">
        <v>393.1</v>
      </c>
    </row>
    <row r="178" spans="1:34"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v>1808.2</v>
      </c>
      <c r="AF178">
        <v>676.5</v>
      </c>
      <c r="AG178">
        <v>132.6</v>
      </c>
      <c r="AH178">
        <v>408.29999999999995</v>
      </c>
    </row>
    <row r="179" spans="1:34"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c r="AE179">
        <v>1813.6000000000001</v>
      </c>
      <c r="AF179">
        <v>700.19999999999993</v>
      </c>
      <c r="AG179">
        <v>136.1</v>
      </c>
      <c r="AH179">
        <v>282.10000000000002</v>
      </c>
    </row>
    <row r="180" spans="1:34"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v>1767.5</v>
      </c>
      <c r="AF180">
        <v>647.20000000000005</v>
      </c>
      <c r="AG180">
        <v>128.19999999999999</v>
      </c>
      <c r="AH180">
        <v>395.2</v>
      </c>
    </row>
    <row r="181" spans="1:34"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v>1794.9999999999998</v>
      </c>
      <c r="AF181">
        <v>677.2</v>
      </c>
      <c r="AG181">
        <v>133.1</v>
      </c>
      <c r="AH181">
        <v>410.4</v>
      </c>
    </row>
    <row r="182" spans="1:34"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c r="AE182">
        <v>1800.7</v>
      </c>
      <c r="AF182">
        <v>702.40000000000009</v>
      </c>
      <c r="AG182">
        <v>136</v>
      </c>
      <c r="AH182">
        <v>282.10000000000002</v>
      </c>
    </row>
    <row r="183" spans="1:34"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v>1748.3000000000002</v>
      </c>
      <c r="AF183">
        <v>649.69999999999993</v>
      </c>
      <c r="AG183">
        <v>129</v>
      </c>
      <c r="AH183">
        <v>397.2</v>
      </c>
    </row>
    <row r="184" spans="1:34"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v>1779.9</v>
      </c>
      <c r="AF184">
        <v>679.6</v>
      </c>
      <c r="AG184">
        <v>133.30000000000001</v>
      </c>
      <c r="AH184">
        <v>411.9</v>
      </c>
    </row>
    <row r="185" spans="1:34"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c r="AE185">
        <v>1781.5</v>
      </c>
      <c r="AF185">
        <v>703.7</v>
      </c>
      <c r="AG185">
        <v>136.19999999999999</v>
      </c>
      <c r="AH185">
        <v>282.3</v>
      </c>
    </row>
    <row r="186" spans="1:34"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v>1727.9</v>
      </c>
      <c r="AF186">
        <v>651.70000000000005</v>
      </c>
      <c r="AG186">
        <v>129.80000000000001</v>
      </c>
      <c r="AH186">
        <v>398.5</v>
      </c>
    </row>
    <row r="187" spans="1:34"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v>1760.3999999999996</v>
      </c>
      <c r="AF187">
        <v>681.2</v>
      </c>
      <c r="AG187">
        <v>133.80000000000001</v>
      </c>
      <c r="AH187">
        <v>413.2</v>
      </c>
    </row>
    <row r="188" spans="1:34"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c r="AE188">
        <v>1781.9999999999998</v>
      </c>
      <c r="AF188">
        <v>707.8</v>
      </c>
      <c r="AG188">
        <v>136.69999999999999</v>
      </c>
      <c r="AH188">
        <v>282.5</v>
      </c>
    </row>
    <row r="189" spans="1:34"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v>1715.5</v>
      </c>
      <c r="AF189">
        <v>654.20000000000005</v>
      </c>
      <c r="AG189">
        <v>130.5</v>
      </c>
      <c r="AH189">
        <v>399.2</v>
      </c>
    </row>
    <row r="190" spans="1:34" x14ac:dyDescent="0.35">
      <c r="A190" t="s">
        <v>108</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v>1756</v>
      </c>
      <c r="AF190">
        <v>684.40000000000009</v>
      </c>
      <c r="AG190">
        <v>134.30000000000001</v>
      </c>
      <c r="AH190">
        <v>414.1</v>
      </c>
    </row>
    <row r="191" spans="1:34"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c r="AE191">
        <v>1780</v>
      </c>
      <c r="AF191">
        <v>711.5</v>
      </c>
      <c r="AG191">
        <v>137.6</v>
      </c>
      <c r="AH191">
        <v>284.70000000000005</v>
      </c>
    </row>
    <row r="192" spans="1:34"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v>1720.0000000000002</v>
      </c>
      <c r="AF192">
        <v>660</v>
      </c>
      <c r="AG192">
        <v>131.30000000000001</v>
      </c>
      <c r="AH192">
        <v>399.3</v>
      </c>
    </row>
    <row r="193" spans="1:34"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v>1757.1</v>
      </c>
      <c r="AF193">
        <v>689.3</v>
      </c>
      <c r="AG193">
        <v>135.19999999999999</v>
      </c>
      <c r="AH193">
        <v>416</v>
      </c>
    </row>
    <row r="194" spans="1:34"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c r="AE194">
        <v>1782.4</v>
      </c>
      <c r="AF194">
        <v>715.5</v>
      </c>
      <c r="AG194">
        <v>138.4</v>
      </c>
      <c r="AH194">
        <v>286.10000000000002</v>
      </c>
    </row>
    <row r="195" spans="1:34"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v>1722.8999999999999</v>
      </c>
      <c r="AF195">
        <v>663.69999999999993</v>
      </c>
      <c r="AG195">
        <v>132</v>
      </c>
      <c r="AH195">
        <v>400.4</v>
      </c>
    </row>
    <row r="196" spans="1:34"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v>1759.8</v>
      </c>
      <c r="AF196">
        <v>693.1</v>
      </c>
      <c r="AG196">
        <v>136</v>
      </c>
      <c r="AH196">
        <v>417.5</v>
      </c>
    </row>
    <row r="197" spans="1:34"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c r="AE197">
        <v>1790.2999999999997</v>
      </c>
      <c r="AF197">
        <v>718.80000000000007</v>
      </c>
      <c r="AG197">
        <v>138.4</v>
      </c>
      <c r="AH197">
        <v>287.29999999999995</v>
      </c>
    </row>
    <row r="198" spans="1:34"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v>1747.3000000000002</v>
      </c>
      <c r="AF198">
        <v>666.59999999999991</v>
      </c>
      <c r="AG198">
        <v>132.6</v>
      </c>
      <c r="AH198">
        <v>402.1</v>
      </c>
    </row>
    <row r="199" spans="1:34"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v>1774.1000000000001</v>
      </c>
      <c r="AF199">
        <v>696.2</v>
      </c>
      <c r="AG199">
        <v>136.19999999999999</v>
      </c>
      <c r="AH199">
        <v>418.5</v>
      </c>
    </row>
    <row r="200" spans="1:34"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c r="AE200">
        <v>1810.5000000000002</v>
      </c>
      <c r="AF200">
        <v>720.5</v>
      </c>
      <c r="AG200">
        <v>139</v>
      </c>
      <c r="AH200">
        <v>289.89999999999998</v>
      </c>
    </row>
    <row r="201" spans="1:34"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v>1771.1</v>
      </c>
      <c r="AF201">
        <v>670.5</v>
      </c>
      <c r="AG201">
        <v>133.6</v>
      </c>
      <c r="AH201">
        <v>405.29999999999995</v>
      </c>
    </row>
    <row r="202" spans="1:34"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v>1795.3</v>
      </c>
      <c r="AF202">
        <v>699.10000000000014</v>
      </c>
      <c r="AG202">
        <v>137</v>
      </c>
      <c r="AH202">
        <v>421.9</v>
      </c>
    </row>
    <row r="203" spans="1:34"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c r="AE203">
        <v>1818.8</v>
      </c>
      <c r="AF203">
        <v>724.4</v>
      </c>
      <c r="AG203">
        <v>139.4</v>
      </c>
      <c r="AH203">
        <v>291.5</v>
      </c>
    </row>
    <row r="204" spans="1:34"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v>1767.6</v>
      </c>
      <c r="AF204">
        <v>673.3</v>
      </c>
      <c r="AG204">
        <v>134.9</v>
      </c>
      <c r="AH204">
        <v>408.79999999999995</v>
      </c>
    </row>
    <row r="205" spans="1:34"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v>1798.7000000000003</v>
      </c>
      <c r="AF205">
        <v>702.5</v>
      </c>
      <c r="AG205">
        <v>137.69999999999999</v>
      </c>
      <c r="AH205">
        <v>424.9</v>
      </c>
    </row>
    <row r="206" spans="1:34"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c r="AE206">
        <v>1799.8000000000002</v>
      </c>
      <c r="AF206">
        <v>727</v>
      </c>
      <c r="AG206">
        <v>140</v>
      </c>
      <c r="AH206">
        <v>293</v>
      </c>
    </row>
    <row r="207" spans="1:34"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v>1748.4</v>
      </c>
      <c r="AF207">
        <v>676.90000000000009</v>
      </c>
      <c r="AG207">
        <v>135.69999999999999</v>
      </c>
      <c r="AH207">
        <v>411.4</v>
      </c>
    </row>
    <row r="208" spans="1:34"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v>1779.5</v>
      </c>
      <c r="AF208">
        <v>705.5</v>
      </c>
      <c r="AG208">
        <v>138.4</v>
      </c>
      <c r="AH208">
        <v>427.3</v>
      </c>
    </row>
    <row r="209" spans="1:34"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c r="AE209">
        <v>1782.2</v>
      </c>
      <c r="AF209">
        <v>723.8</v>
      </c>
      <c r="AG209">
        <v>144.80000000000001</v>
      </c>
      <c r="AH209">
        <v>297.2</v>
      </c>
    </row>
    <row r="210" spans="1:34"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v>1754.1</v>
      </c>
      <c r="AF210">
        <v>679.8</v>
      </c>
      <c r="AG210">
        <v>136.19999999999999</v>
      </c>
      <c r="AH210">
        <v>414.80000000000007</v>
      </c>
    </row>
    <row r="211" spans="1:34"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v>1776.2</v>
      </c>
      <c r="AF211">
        <v>707.3</v>
      </c>
      <c r="AG211">
        <v>142.1</v>
      </c>
      <c r="AH211">
        <v>434.40000000000003</v>
      </c>
    </row>
    <row r="212" spans="1:34"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c r="AE212">
        <v>1787.4999999999995</v>
      </c>
      <c r="AF212">
        <v>728.5</v>
      </c>
      <c r="AG212">
        <v>145.4</v>
      </c>
      <c r="AH212">
        <v>298.3</v>
      </c>
    </row>
    <row r="213" spans="1:34"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v>1757.4999999999998</v>
      </c>
      <c r="AF213">
        <v>680.40000000000009</v>
      </c>
      <c r="AG213">
        <v>136.80000000000001</v>
      </c>
      <c r="AH213">
        <v>419.40000000000003</v>
      </c>
    </row>
    <row r="214" spans="1:34"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v>1775.7000000000003</v>
      </c>
      <c r="AF214">
        <v>707.09999999999991</v>
      </c>
      <c r="AG214">
        <v>142.1</v>
      </c>
      <c r="AH214">
        <v>434.2</v>
      </c>
    </row>
    <row r="215" spans="1:34"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c r="AE215">
        <v>1773.1000000000001</v>
      </c>
      <c r="AF215">
        <v>732.30000000000007</v>
      </c>
      <c r="AG215">
        <v>149.6</v>
      </c>
      <c r="AH215">
        <v>298.5</v>
      </c>
    </row>
    <row r="216" spans="1:34"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v>1746.6</v>
      </c>
      <c r="AF216">
        <v>679.1</v>
      </c>
      <c r="AG216">
        <v>137.30000000000001</v>
      </c>
      <c r="AH216">
        <v>415.09999999999997</v>
      </c>
    </row>
    <row r="217" spans="1:34"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v>1762.7999999999997</v>
      </c>
      <c r="AF217">
        <v>708</v>
      </c>
      <c r="AG217">
        <v>144.9</v>
      </c>
      <c r="AH217">
        <v>432.4</v>
      </c>
    </row>
    <row r="218" spans="1:34"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c r="AE218">
        <v>1759.6000000000001</v>
      </c>
      <c r="AF218">
        <v>729.40000000000009</v>
      </c>
      <c r="AG218">
        <v>149.6</v>
      </c>
      <c r="AH218">
        <v>296.29999999999995</v>
      </c>
    </row>
    <row r="219" spans="1:34"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v>1744.3000000000002</v>
      </c>
      <c r="AF219">
        <v>679.7</v>
      </c>
      <c r="AG219">
        <v>137.80000000000001</v>
      </c>
      <c r="AH219">
        <v>412.59999999999997</v>
      </c>
    </row>
    <row r="220" spans="1:34"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v>1753.3999999999999</v>
      </c>
      <c r="AF220">
        <v>706.5</v>
      </c>
      <c r="AG220">
        <v>145.1</v>
      </c>
      <c r="AH220">
        <v>430.79999999999995</v>
      </c>
    </row>
    <row r="221" spans="1:34"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c r="AE221">
        <v>1759.8000000000002</v>
      </c>
      <c r="AF221">
        <v>731.2</v>
      </c>
      <c r="AG221">
        <v>149.9</v>
      </c>
      <c r="AH221">
        <v>295.39999999999998</v>
      </c>
    </row>
    <row r="222" spans="1:34"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v>1754.4</v>
      </c>
      <c r="AF222">
        <v>681.30000000000007</v>
      </c>
      <c r="AG222">
        <v>138.5</v>
      </c>
      <c r="AH222">
        <v>412.20000000000005</v>
      </c>
    </row>
    <row r="223" spans="1:34"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v>1757.1</v>
      </c>
      <c r="AF223">
        <v>708.09999999999991</v>
      </c>
      <c r="AG223">
        <v>145.6</v>
      </c>
      <c r="AH223">
        <v>430.59999999999997</v>
      </c>
    </row>
    <row r="224" spans="1:34"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c r="AE224">
        <v>1761.2000000000003</v>
      </c>
      <c r="AF224">
        <v>732.4</v>
      </c>
      <c r="AG224">
        <v>150.4</v>
      </c>
      <c r="AH224">
        <v>296.39999999999998</v>
      </c>
    </row>
    <row r="225" spans="1:34"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v>1768.4</v>
      </c>
      <c r="AF225">
        <v>682.89999999999986</v>
      </c>
      <c r="AG225">
        <v>139.19999999999999</v>
      </c>
      <c r="AH225">
        <v>414.6</v>
      </c>
    </row>
    <row r="226" spans="1:34"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v>1762.9</v>
      </c>
      <c r="AF226">
        <v>709.40000000000009</v>
      </c>
      <c r="AG226">
        <v>146.19999999999999</v>
      </c>
      <c r="AH226">
        <v>432.5</v>
      </c>
    </row>
    <row r="227" spans="1:34" x14ac:dyDescent="0.35">
      <c r="A227" s="3" t="s">
        <v>30</v>
      </c>
      <c r="B227" s="3">
        <v>2019</v>
      </c>
      <c r="C227" s="3" t="s">
        <v>37</v>
      </c>
      <c r="D227" s="3">
        <v>137.15</v>
      </c>
      <c r="E227" s="3">
        <v>156.80000000000001</v>
      </c>
      <c r="F227" s="3">
        <v>136.6</v>
      </c>
      <c r="G227" s="3">
        <v>142.55000000000001</v>
      </c>
      <c r="H227" s="3">
        <v>124.05</v>
      </c>
      <c r="I227" s="3">
        <v>139.89999999999998</v>
      </c>
      <c r="J227" s="3">
        <v>130.80000000000001</v>
      </c>
      <c r="K227" s="3">
        <v>123.69999999999999</v>
      </c>
      <c r="L227" s="3">
        <v>108.8</v>
      </c>
      <c r="M227" s="3">
        <v>139.10000000000002</v>
      </c>
      <c r="N227" s="3">
        <v>137.55000000000001</v>
      </c>
      <c r="O227" s="3">
        <v>156.4</v>
      </c>
      <c r="P227" s="3">
        <v>138.25</v>
      </c>
      <c r="Q227" s="3">
        <v>163.10000000000002</v>
      </c>
      <c r="R227" s="3">
        <v>151.05000000000001</v>
      </c>
      <c r="S227" s="3">
        <v>146.35</v>
      </c>
      <c r="T227" s="3">
        <v>150.39999999999998</v>
      </c>
      <c r="U227" s="3" t="e">
        <v>#VALUE!</v>
      </c>
      <c r="V227" s="3">
        <v>146.65</v>
      </c>
      <c r="W227" s="3">
        <v>149.75</v>
      </c>
      <c r="X227" s="3">
        <v>150.85000000000002</v>
      </c>
      <c r="Y227" s="3">
        <v>130.05000000000001</v>
      </c>
      <c r="Z227" s="3">
        <v>144.85000000000002</v>
      </c>
      <c r="AA227" s="3">
        <v>156.1</v>
      </c>
      <c r="AB227" s="3">
        <v>133.94999999999999</v>
      </c>
      <c r="AC227" s="3">
        <v>142.65</v>
      </c>
      <c r="AD227" s="3">
        <v>141.80000000000001</v>
      </c>
      <c r="AE227">
        <v>1771.6500000000003</v>
      </c>
      <c r="AF227">
        <v>733.94999999999993</v>
      </c>
      <c r="AG227" s="3">
        <v>150.85000000000002</v>
      </c>
      <c r="AH227" t="e">
        <v>#VALUE!</v>
      </c>
    </row>
    <row r="228" spans="1:34" x14ac:dyDescent="0.35">
      <c r="A228" s="3" t="s">
        <v>33</v>
      </c>
      <c r="B228" s="3">
        <v>2019</v>
      </c>
      <c r="C228" s="3" t="s">
        <v>37</v>
      </c>
      <c r="D228" s="3">
        <v>140.05000000000001</v>
      </c>
      <c r="E228" s="3">
        <v>153.89999999999998</v>
      </c>
      <c r="F228" s="3">
        <v>140.60000000000002</v>
      </c>
      <c r="G228" s="3">
        <v>142.15</v>
      </c>
      <c r="H228" s="3">
        <v>118.5</v>
      </c>
      <c r="I228" s="3">
        <v>144.55000000000001</v>
      </c>
      <c r="J228" s="3">
        <v>151.39999999999998</v>
      </c>
      <c r="K228" s="3">
        <v>122.55000000000001</v>
      </c>
      <c r="L228" s="3">
        <v>110.80000000000001</v>
      </c>
      <c r="M228" s="3">
        <v>140.85</v>
      </c>
      <c r="N228" s="3">
        <v>128.69999999999999</v>
      </c>
      <c r="O228" s="3">
        <v>154.19999999999999</v>
      </c>
      <c r="P228" s="3">
        <v>141.69999999999999</v>
      </c>
      <c r="Q228" s="3">
        <v>165.75</v>
      </c>
      <c r="R228" s="3">
        <v>143.75</v>
      </c>
      <c r="S228" s="3">
        <v>131.44999999999999</v>
      </c>
      <c r="T228" s="3">
        <v>141.89999999999998</v>
      </c>
      <c r="U228" s="3">
        <v>149.55000000000001</v>
      </c>
      <c r="V228" s="3">
        <v>129.10000000000002</v>
      </c>
      <c r="W228" s="3">
        <v>137</v>
      </c>
      <c r="X228" s="3">
        <v>139.5</v>
      </c>
      <c r="Y228" s="3">
        <v>120</v>
      </c>
      <c r="Z228" s="3">
        <v>133.5</v>
      </c>
      <c r="AA228" s="3">
        <v>147.35</v>
      </c>
      <c r="AB228" s="3">
        <v>132.55000000000001</v>
      </c>
      <c r="AC228" s="3">
        <v>133.05000000000001</v>
      </c>
      <c r="AD228" s="3">
        <v>140.5</v>
      </c>
      <c r="AE228">
        <v>1789.95</v>
      </c>
      <c r="AF228">
        <v>684.44999999999993</v>
      </c>
      <c r="AG228" s="3">
        <v>139.5</v>
      </c>
      <c r="AH228">
        <v>415.65000000000003</v>
      </c>
    </row>
    <row r="229" spans="1:34" x14ac:dyDescent="0.35">
      <c r="A229" s="3" t="s">
        <v>34</v>
      </c>
      <c r="B229" s="3">
        <v>2019</v>
      </c>
      <c r="C229" s="3" t="s">
        <v>37</v>
      </c>
      <c r="D229" s="3">
        <v>138.05000000000001</v>
      </c>
      <c r="E229" s="3">
        <v>155.75</v>
      </c>
      <c r="F229" s="3">
        <v>138.15</v>
      </c>
      <c r="G229" s="3">
        <v>142.4</v>
      </c>
      <c r="H229" s="3">
        <v>122</v>
      </c>
      <c r="I229" s="3">
        <v>142.05000000000001</v>
      </c>
      <c r="J229" s="3">
        <v>137.80000000000001</v>
      </c>
      <c r="K229" s="3">
        <v>123.35</v>
      </c>
      <c r="L229" s="3">
        <v>109.45</v>
      </c>
      <c r="M229" s="3">
        <v>139.69999999999999</v>
      </c>
      <c r="N229" s="3">
        <v>133.85</v>
      </c>
      <c r="O229" s="3">
        <v>155.35</v>
      </c>
      <c r="P229" s="3">
        <v>139.5</v>
      </c>
      <c r="Q229" s="3">
        <v>163.80000000000001</v>
      </c>
      <c r="R229" s="3">
        <v>148.15</v>
      </c>
      <c r="S229" s="3">
        <v>140.15</v>
      </c>
      <c r="T229" s="3">
        <v>147</v>
      </c>
      <c r="U229" s="3">
        <v>149.55000000000001</v>
      </c>
      <c r="V229" s="3">
        <v>140</v>
      </c>
      <c r="W229" s="3">
        <v>143.75</v>
      </c>
      <c r="X229" s="3">
        <v>146.55000000000001</v>
      </c>
      <c r="Y229" s="3">
        <v>124.75</v>
      </c>
      <c r="Z229" s="3">
        <v>138.44999999999999</v>
      </c>
      <c r="AA229" s="3">
        <v>150.94999999999999</v>
      </c>
      <c r="AB229" s="3">
        <v>133.4</v>
      </c>
      <c r="AC229" s="3">
        <v>137.94999999999999</v>
      </c>
      <c r="AD229" s="3">
        <v>141.19999999999999</v>
      </c>
      <c r="AE229">
        <v>1777.3999999999999</v>
      </c>
      <c r="AF229">
        <v>711</v>
      </c>
      <c r="AG229" s="3">
        <v>146.55000000000001</v>
      </c>
      <c r="AH229">
        <v>433.3</v>
      </c>
    </row>
    <row r="230" spans="1:34" x14ac:dyDescent="0.35">
      <c r="A230" t="s">
        <v>30</v>
      </c>
      <c r="B230">
        <v>2019</v>
      </c>
      <c r="C230" t="s">
        <v>38</v>
      </c>
      <c r="D230">
        <v>137.4</v>
      </c>
      <c r="E230">
        <v>159.5</v>
      </c>
      <c r="F230">
        <v>134.5</v>
      </c>
      <c r="G230">
        <v>142.6</v>
      </c>
      <c r="H230">
        <v>124</v>
      </c>
      <c r="I230">
        <v>143.69999999999999</v>
      </c>
      <c r="J230">
        <v>133.4</v>
      </c>
      <c r="K230">
        <v>125.1</v>
      </c>
      <c r="L230">
        <v>109.3</v>
      </c>
      <c r="M230">
        <v>139.30000000000001</v>
      </c>
      <c r="N230">
        <v>137.69999999999999</v>
      </c>
      <c r="O230">
        <v>156.4</v>
      </c>
      <c r="P230">
        <v>139.19999999999999</v>
      </c>
      <c r="Q230">
        <v>163.30000000000001</v>
      </c>
      <c r="R230">
        <v>151.30000000000001</v>
      </c>
      <c r="S230">
        <v>146.6</v>
      </c>
      <c r="T230">
        <v>150.69999999999999</v>
      </c>
      <c r="U230" t="s">
        <v>32</v>
      </c>
      <c r="V230">
        <v>146.9</v>
      </c>
      <c r="W230">
        <v>149.5</v>
      </c>
      <c r="X230">
        <v>151.30000000000001</v>
      </c>
      <c r="Y230">
        <v>130.19999999999999</v>
      </c>
      <c r="Z230">
        <v>145.9</v>
      </c>
      <c r="AA230">
        <v>156.69999999999999</v>
      </c>
      <c r="AB230">
        <v>133.9</v>
      </c>
      <c r="AC230">
        <v>142.9</v>
      </c>
      <c r="AD230">
        <v>142.4</v>
      </c>
      <c r="AE230">
        <v>1782.1000000000001</v>
      </c>
      <c r="AF230">
        <v>735.5</v>
      </c>
      <c r="AG230">
        <v>151.30000000000001</v>
      </c>
      <c r="AH230">
        <v>296.39999999999998</v>
      </c>
    </row>
    <row r="231" spans="1:34" x14ac:dyDescent="0.35">
      <c r="A231" t="s">
        <v>33</v>
      </c>
      <c r="B231">
        <v>2019</v>
      </c>
      <c r="C231" t="s">
        <v>38</v>
      </c>
      <c r="D231">
        <v>140.4</v>
      </c>
      <c r="E231">
        <v>156.69999999999999</v>
      </c>
      <c r="F231">
        <v>138.30000000000001</v>
      </c>
      <c r="G231">
        <v>142.4</v>
      </c>
      <c r="H231">
        <v>118.6</v>
      </c>
      <c r="I231">
        <v>149.69999999999999</v>
      </c>
      <c r="J231">
        <v>161.6</v>
      </c>
      <c r="K231">
        <v>124.4</v>
      </c>
      <c r="L231">
        <v>111.2</v>
      </c>
      <c r="M231">
        <v>141</v>
      </c>
      <c r="N231">
        <v>128.9</v>
      </c>
      <c r="O231">
        <v>154.5</v>
      </c>
      <c r="P231">
        <v>143.80000000000001</v>
      </c>
      <c r="Q231">
        <v>166.2</v>
      </c>
      <c r="R231">
        <v>144</v>
      </c>
      <c r="S231">
        <v>131.69999999999999</v>
      </c>
      <c r="T231">
        <v>142.19999999999999</v>
      </c>
      <c r="U231">
        <v>150.1</v>
      </c>
      <c r="V231">
        <v>129.4</v>
      </c>
      <c r="W231">
        <v>137.19999999999999</v>
      </c>
      <c r="X231">
        <v>139.80000000000001</v>
      </c>
      <c r="Y231">
        <v>120.1</v>
      </c>
      <c r="Z231">
        <v>134</v>
      </c>
      <c r="AA231">
        <v>148</v>
      </c>
      <c r="AB231">
        <v>132.6</v>
      </c>
      <c r="AC231">
        <v>133.30000000000001</v>
      </c>
      <c r="AD231">
        <v>141.5</v>
      </c>
      <c r="AE231">
        <v>1811.5000000000002</v>
      </c>
      <c r="AF231">
        <v>686</v>
      </c>
      <c r="AG231">
        <v>139.80000000000001</v>
      </c>
      <c r="AH231">
        <v>416.7</v>
      </c>
    </row>
    <row r="232" spans="1:34" x14ac:dyDescent="0.35">
      <c r="A232" t="s">
        <v>34</v>
      </c>
      <c r="B232">
        <v>2019</v>
      </c>
      <c r="C232" t="s">
        <v>38</v>
      </c>
      <c r="D232">
        <v>138.30000000000001</v>
      </c>
      <c r="E232">
        <v>158.5</v>
      </c>
      <c r="F232">
        <v>136</v>
      </c>
      <c r="G232">
        <v>142.5</v>
      </c>
      <c r="H232">
        <v>122</v>
      </c>
      <c r="I232">
        <v>146.5</v>
      </c>
      <c r="J232">
        <v>143</v>
      </c>
      <c r="K232">
        <v>124.9</v>
      </c>
      <c r="L232">
        <v>109.9</v>
      </c>
      <c r="M232">
        <v>139.9</v>
      </c>
      <c r="N232">
        <v>134</v>
      </c>
      <c r="O232">
        <v>155.5</v>
      </c>
      <c r="P232">
        <v>140.9</v>
      </c>
      <c r="Q232">
        <v>164.1</v>
      </c>
      <c r="R232">
        <v>148.4</v>
      </c>
      <c r="S232">
        <v>140.4</v>
      </c>
      <c r="T232">
        <v>147.30000000000001</v>
      </c>
      <c r="U232">
        <v>150.1</v>
      </c>
      <c r="V232">
        <v>140.30000000000001</v>
      </c>
      <c r="W232">
        <v>143.69999999999999</v>
      </c>
      <c r="X232">
        <v>146.9</v>
      </c>
      <c r="Y232">
        <v>124.9</v>
      </c>
      <c r="Z232">
        <v>139.19999999999999</v>
      </c>
      <c r="AA232">
        <v>151.6</v>
      </c>
      <c r="AB232">
        <v>133.4</v>
      </c>
      <c r="AC232">
        <v>138.19999999999999</v>
      </c>
      <c r="AD232">
        <v>142</v>
      </c>
      <c r="AE232">
        <v>1791.9000000000003</v>
      </c>
      <c r="AF232">
        <v>712.6</v>
      </c>
      <c r="AG232">
        <v>146.9</v>
      </c>
      <c r="AH232">
        <v>434.09999999999997</v>
      </c>
    </row>
    <row r="233" spans="1:34" x14ac:dyDescent="0.35">
      <c r="A233" t="s">
        <v>30</v>
      </c>
      <c r="B233">
        <v>2019</v>
      </c>
      <c r="C233" t="s">
        <v>39</v>
      </c>
      <c r="D233">
        <v>137.80000000000001</v>
      </c>
      <c r="E233">
        <v>163.5</v>
      </c>
      <c r="F233">
        <v>136.19999999999999</v>
      </c>
      <c r="G233">
        <v>143.19999999999999</v>
      </c>
      <c r="H233">
        <v>124.3</v>
      </c>
      <c r="I233">
        <v>143.30000000000001</v>
      </c>
      <c r="J233">
        <v>140.6</v>
      </c>
      <c r="K233">
        <v>128.69999999999999</v>
      </c>
      <c r="L233">
        <v>110.6</v>
      </c>
      <c r="M233">
        <v>140.4</v>
      </c>
      <c r="N233">
        <v>138</v>
      </c>
      <c r="O233">
        <v>156.6</v>
      </c>
      <c r="P233">
        <v>141</v>
      </c>
      <c r="Q233">
        <v>164.2</v>
      </c>
      <c r="R233">
        <v>151.4</v>
      </c>
      <c r="S233">
        <v>146.5</v>
      </c>
      <c r="T233">
        <v>150.69999999999999</v>
      </c>
      <c r="U233" t="s">
        <v>32</v>
      </c>
      <c r="V233">
        <v>147.80000000000001</v>
      </c>
      <c r="W233">
        <v>149.6</v>
      </c>
      <c r="X233">
        <v>151.69999999999999</v>
      </c>
      <c r="Y233">
        <v>130.19999999999999</v>
      </c>
      <c r="Z233">
        <v>146.4</v>
      </c>
      <c r="AA233">
        <v>157.69999999999999</v>
      </c>
      <c r="AB233">
        <v>134.80000000000001</v>
      </c>
      <c r="AC233">
        <v>143.30000000000001</v>
      </c>
      <c r="AD233">
        <v>143.6</v>
      </c>
      <c r="AE233">
        <v>1804.1999999999998</v>
      </c>
      <c r="AF233">
        <v>736.5</v>
      </c>
      <c r="AG233">
        <v>151.69999999999999</v>
      </c>
      <c r="AH233">
        <v>297.39999999999998</v>
      </c>
    </row>
    <row r="234" spans="1:34" x14ac:dyDescent="0.35">
      <c r="A234" t="s">
        <v>33</v>
      </c>
      <c r="B234">
        <v>2019</v>
      </c>
      <c r="C234" t="s">
        <v>39</v>
      </c>
      <c r="D234">
        <v>140.69999999999999</v>
      </c>
      <c r="E234">
        <v>159.6</v>
      </c>
      <c r="F234">
        <v>140.4</v>
      </c>
      <c r="G234">
        <v>143.4</v>
      </c>
      <c r="H234">
        <v>118.6</v>
      </c>
      <c r="I234">
        <v>150.9</v>
      </c>
      <c r="J234">
        <v>169.8</v>
      </c>
      <c r="K234">
        <v>127.4</v>
      </c>
      <c r="L234">
        <v>111.8</v>
      </c>
      <c r="M234">
        <v>141</v>
      </c>
      <c r="N234">
        <v>129</v>
      </c>
      <c r="O234">
        <v>155.1</v>
      </c>
      <c r="P234">
        <v>145.6</v>
      </c>
      <c r="Q234">
        <v>166.7</v>
      </c>
      <c r="R234">
        <v>144.30000000000001</v>
      </c>
      <c r="S234">
        <v>131.69999999999999</v>
      </c>
      <c r="T234">
        <v>142.4</v>
      </c>
      <c r="U234">
        <v>149.4</v>
      </c>
      <c r="V234">
        <v>130.5</v>
      </c>
      <c r="W234">
        <v>137.4</v>
      </c>
      <c r="X234">
        <v>140.30000000000001</v>
      </c>
      <c r="Y234">
        <v>119.6</v>
      </c>
      <c r="Z234">
        <v>134.30000000000001</v>
      </c>
      <c r="AA234">
        <v>148.9</v>
      </c>
      <c r="AB234">
        <v>133.69999999999999</v>
      </c>
      <c r="AC234">
        <v>133.6</v>
      </c>
      <c r="AD234">
        <v>142.1</v>
      </c>
      <c r="AE234">
        <v>1833.2999999999997</v>
      </c>
      <c r="AF234">
        <v>686.9</v>
      </c>
      <c r="AG234">
        <v>140.30000000000001</v>
      </c>
      <c r="AH234">
        <v>417.29999999999995</v>
      </c>
    </row>
    <row r="235" spans="1:34" x14ac:dyDescent="0.35">
      <c r="A235" t="s">
        <v>34</v>
      </c>
      <c r="B235">
        <v>2019</v>
      </c>
      <c r="C235" t="s">
        <v>39</v>
      </c>
      <c r="D235">
        <v>138.69999999999999</v>
      </c>
      <c r="E235">
        <v>162.1</v>
      </c>
      <c r="F235">
        <v>137.80000000000001</v>
      </c>
      <c r="G235">
        <v>143.30000000000001</v>
      </c>
      <c r="H235">
        <v>122.2</v>
      </c>
      <c r="I235">
        <v>146.80000000000001</v>
      </c>
      <c r="J235">
        <v>150.5</v>
      </c>
      <c r="K235">
        <v>128.30000000000001</v>
      </c>
      <c r="L235">
        <v>111</v>
      </c>
      <c r="M235">
        <v>140.6</v>
      </c>
      <c r="N235">
        <v>134.19999999999999</v>
      </c>
      <c r="O235">
        <v>155.9</v>
      </c>
      <c r="P235">
        <v>142.69999999999999</v>
      </c>
      <c r="Q235">
        <v>164.9</v>
      </c>
      <c r="R235">
        <v>148.6</v>
      </c>
      <c r="S235">
        <v>140.4</v>
      </c>
      <c r="T235">
        <v>147.4</v>
      </c>
      <c r="U235">
        <v>149.4</v>
      </c>
      <c r="V235">
        <v>141.19999999999999</v>
      </c>
      <c r="W235">
        <v>143.80000000000001</v>
      </c>
      <c r="X235">
        <v>147.4</v>
      </c>
      <c r="Y235">
        <v>124.6</v>
      </c>
      <c r="Z235">
        <v>139.6</v>
      </c>
      <c r="AA235">
        <v>152.5</v>
      </c>
      <c r="AB235">
        <v>134.30000000000001</v>
      </c>
      <c r="AC235">
        <v>138.6</v>
      </c>
      <c r="AD235">
        <v>142.9</v>
      </c>
      <c r="AE235">
        <v>1814.1000000000001</v>
      </c>
      <c r="AF235">
        <v>713.5</v>
      </c>
      <c r="AG235">
        <v>147.4</v>
      </c>
      <c r="AH235">
        <v>434.40000000000003</v>
      </c>
    </row>
    <row r="236" spans="1:34" x14ac:dyDescent="0.35">
      <c r="A236" t="s">
        <v>30</v>
      </c>
      <c r="B236">
        <v>2019</v>
      </c>
      <c r="C236" t="s">
        <v>40</v>
      </c>
      <c r="D236">
        <v>138.4</v>
      </c>
      <c r="E236">
        <v>164</v>
      </c>
      <c r="F236">
        <v>138.4</v>
      </c>
      <c r="G236">
        <v>143.9</v>
      </c>
      <c r="H236">
        <v>124.4</v>
      </c>
      <c r="I236">
        <v>146.4</v>
      </c>
      <c r="J236">
        <v>150.1</v>
      </c>
      <c r="K236">
        <v>130.6</v>
      </c>
      <c r="L236">
        <v>110.8</v>
      </c>
      <c r="M236">
        <v>141.69999999999999</v>
      </c>
      <c r="N236">
        <v>138.5</v>
      </c>
      <c r="O236">
        <v>156.69999999999999</v>
      </c>
      <c r="P236">
        <v>143</v>
      </c>
      <c r="Q236">
        <v>164.5</v>
      </c>
      <c r="R236">
        <v>151.6</v>
      </c>
      <c r="S236">
        <v>146.6</v>
      </c>
      <c r="T236">
        <v>150.9</v>
      </c>
      <c r="U236" t="s">
        <v>32</v>
      </c>
      <c r="V236">
        <v>146.80000000000001</v>
      </c>
      <c r="W236">
        <v>150</v>
      </c>
      <c r="X236">
        <v>152.19999999999999</v>
      </c>
      <c r="Y236">
        <v>131.19999999999999</v>
      </c>
      <c r="Z236">
        <v>147.5</v>
      </c>
      <c r="AA236">
        <v>159.1</v>
      </c>
      <c r="AB236">
        <v>136.1</v>
      </c>
      <c r="AC236">
        <v>144.19999999999999</v>
      </c>
      <c r="AD236">
        <v>144.9</v>
      </c>
      <c r="AE236">
        <v>1826.8999999999999</v>
      </c>
      <c r="AF236">
        <v>739.4</v>
      </c>
      <c r="AG236">
        <v>152.19999999999999</v>
      </c>
      <c r="AH236">
        <v>296.8</v>
      </c>
    </row>
    <row r="237" spans="1:34" x14ac:dyDescent="0.35">
      <c r="A237" t="s">
        <v>33</v>
      </c>
      <c r="B237">
        <v>2019</v>
      </c>
      <c r="C237" t="s">
        <v>40</v>
      </c>
      <c r="D237">
        <v>141.4</v>
      </c>
      <c r="E237">
        <v>160.19999999999999</v>
      </c>
      <c r="F237">
        <v>142.5</v>
      </c>
      <c r="G237">
        <v>144.1</v>
      </c>
      <c r="H237">
        <v>119.3</v>
      </c>
      <c r="I237">
        <v>154.69999999999999</v>
      </c>
      <c r="J237">
        <v>180.1</v>
      </c>
      <c r="K237">
        <v>128.9</v>
      </c>
      <c r="L237">
        <v>111.8</v>
      </c>
      <c r="M237">
        <v>141.6</v>
      </c>
      <c r="N237">
        <v>129.5</v>
      </c>
      <c r="O237">
        <v>155.6</v>
      </c>
      <c r="P237">
        <v>147.69999999999999</v>
      </c>
      <c r="Q237">
        <v>167.2</v>
      </c>
      <c r="R237">
        <v>144.69999999999999</v>
      </c>
      <c r="S237">
        <v>131.9</v>
      </c>
      <c r="T237">
        <v>142.69999999999999</v>
      </c>
      <c r="U237">
        <v>150.6</v>
      </c>
      <c r="V237">
        <v>127</v>
      </c>
      <c r="W237">
        <v>137.69999999999999</v>
      </c>
      <c r="X237">
        <v>140.80000000000001</v>
      </c>
      <c r="Y237">
        <v>120.6</v>
      </c>
      <c r="Z237">
        <v>135</v>
      </c>
      <c r="AA237">
        <v>150.4</v>
      </c>
      <c r="AB237">
        <v>135.1</v>
      </c>
      <c r="AC237">
        <v>134.5</v>
      </c>
      <c r="AD237">
        <v>143.30000000000001</v>
      </c>
      <c r="AE237">
        <v>1857.3999999999999</v>
      </c>
      <c r="AF237">
        <v>690.3</v>
      </c>
      <c r="AG237">
        <v>140.80000000000001</v>
      </c>
      <c r="AH237">
        <v>415.3</v>
      </c>
    </row>
    <row r="238" spans="1:34" x14ac:dyDescent="0.35">
      <c r="A238" t="s">
        <v>34</v>
      </c>
      <c r="B238">
        <v>2019</v>
      </c>
      <c r="C238" t="s">
        <v>40</v>
      </c>
      <c r="D238">
        <v>139.30000000000001</v>
      </c>
      <c r="E238">
        <v>162.69999999999999</v>
      </c>
      <c r="F238">
        <v>140</v>
      </c>
      <c r="G238">
        <v>144</v>
      </c>
      <c r="H238">
        <v>122.5</v>
      </c>
      <c r="I238">
        <v>150.30000000000001</v>
      </c>
      <c r="J238">
        <v>160.30000000000001</v>
      </c>
      <c r="K238">
        <v>130</v>
      </c>
      <c r="L238">
        <v>111.1</v>
      </c>
      <c r="M238">
        <v>141.69999999999999</v>
      </c>
      <c r="N238">
        <v>134.69999999999999</v>
      </c>
      <c r="O238">
        <v>156.19999999999999</v>
      </c>
      <c r="P238">
        <v>144.69999999999999</v>
      </c>
      <c r="Q238">
        <v>165.2</v>
      </c>
      <c r="R238">
        <v>148.9</v>
      </c>
      <c r="S238">
        <v>140.5</v>
      </c>
      <c r="T238">
        <v>147.6</v>
      </c>
      <c r="U238">
        <v>150.6</v>
      </c>
      <c r="V238">
        <v>139.30000000000001</v>
      </c>
      <c r="W238">
        <v>144.19999999999999</v>
      </c>
      <c r="X238">
        <v>147.9</v>
      </c>
      <c r="Y238">
        <v>125.6</v>
      </c>
      <c r="Z238">
        <v>140.5</v>
      </c>
      <c r="AA238">
        <v>154</v>
      </c>
      <c r="AB238">
        <v>135.69999999999999</v>
      </c>
      <c r="AC238">
        <v>139.5</v>
      </c>
      <c r="AD238">
        <v>144.19999999999999</v>
      </c>
      <c r="AE238">
        <v>1837.5</v>
      </c>
      <c r="AF238">
        <v>716.6</v>
      </c>
      <c r="AG238">
        <v>147.9</v>
      </c>
      <c r="AH238">
        <v>434.09999999999997</v>
      </c>
    </row>
    <row r="239" spans="1:34" x14ac:dyDescent="0.35">
      <c r="A239" t="s">
        <v>30</v>
      </c>
      <c r="B239">
        <v>2019</v>
      </c>
      <c r="C239" t="s">
        <v>41</v>
      </c>
      <c r="D239">
        <v>139.19999999999999</v>
      </c>
      <c r="E239">
        <v>161.9</v>
      </c>
      <c r="F239">
        <v>137.1</v>
      </c>
      <c r="G239">
        <v>144.6</v>
      </c>
      <c r="H239">
        <v>124.7</v>
      </c>
      <c r="I239">
        <v>145.5</v>
      </c>
      <c r="J239">
        <v>156.19999999999999</v>
      </c>
      <c r="K239">
        <v>131.5</v>
      </c>
      <c r="L239">
        <v>111.7</v>
      </c>
      <c r="M239">
        <v>142.69999999999999</v>
      </c>
      <c r="N239">
        <v>138.5</v>
      </c>
      <c r="O239">
        <v>156.9</v>
      </c>
      <c r="P239">
        <v>144</v>
      </c>
      <c r="Q239">
        <v>165.1</v>
      </c>
      <c r="R239">
        <v>151.80000000000001</v>
      </c>
      <c r="S239">
        <v>146.6</v>
      </c>
      <c r="T239">
        <v>151.1</v>
      </c>
      <c r="U239" t="s">
        <v>32</v>
      </c>
      <c r="V239">
        <v>146.4</v>
      </c>
      <c r="W239">
        <v>150.19999999999999</v>
      </c>
      <c r="X239">
        <v>152.69999999999999</v>
      </c>
      <c r="Y239">
        <v>131.4</v>
      </c>
      <c r="Z239">
        <v>148</v>
      </c>
      <c r="AA239">
        <v>159.69999999999999</v>
      </c>
      <c r="AB239">
        <v>138.80000000000001</v>
      </c>
      <c r="AC239">
        <v>144.9</v>
      </c>
      <c r="AD239">
        <v>145.69999999999999</v>
      </c>
      <c r="AE239">
        <v>1834.5000000000002</v>
      </c>
      <c r="AF239">
        <v>740.59999999999991</v>
      </c>
      <c r="AG239">
        <v>152.69999999999999</v>
      </c>
      <c r="AH239">
        <v>296.60000000000002</v>
      </c>
    </row>
    <row r="240" spans="1:34" x14ac:dyDescent="0.35">
      <c r="A240" t="s">
        <v>33</v>
      </c>
      <c r="B240">
        <v>2019</v>
      </c>
      <c r="C240" t="s">
        <v>41</v>
      </c>
      <c r="D240">
        <v>142.1</v>
      </c>
      <c r="E240">
        <v>158.30000000000001</v>
      </c>
      <c r="F240">
        <v>140.80000000000001</v>
      </c>
      <c r="G240">
        <v>144.9</v>
      </c>
      <c r="H240">
        <v>119.9</v>
      </c>
      <c r="I240">
        <v>153.9</v>
      </c>
      <c r="J240">
        <v>189.1</v>
      </c>
      <c r="K240">
        <v>129.80000000000001</v>
      </c>
      <c r="L240">
        <v>112.7</v>
      </c>
      <c r="M240">
        <v>142.5</v>
      </c>
      <c r="N240">
        <v>129.80000000000001</v>
      </c>
      <c r="O240">
        <v>156.19999999999999</v>
      </c>
      <c r="P240">
        <v>149.1</v>
      </c>
      <c r="Q240">
        <v>167.9</v>
      </c>
      <c r="R240">
        <v>145</v>
      </c>
      <c r="S240">
        <v>132.19999999999999</v>
      </c>
      <c r="T240">
        <v>143</v>
      </c>
      <c r="U240">
        <v>151.6</v>
      </c>
      <c r="V240">
        <v>125.5</v>
      </c>
      <c r="W240">
        <v>138.1</v>
      </c>
      <c r="X240">
        <v>141.5</v>
      </c>
      <c r="Y240">
        <v>120.8</v>
      </c>
      <c r="Z240">
        <v>135.4</v>
      </c>
      <c r="AA240">
        <v>151.5</v>
      </c>
      <c r="AB240">
        <v>137.80000000000001</v>
      </c>
      <c r="AC240">
        <v>135.30000000000001</v>
      </c>
      <c r="AD240">
        <v>144.19999999999999</v>
      </c>
      <c r="AE240">
        <v>1869.1</v>
      </c>
      <c r="AF240">
        <v>692.5</v>
      </c>
      <c r="AG240">
        <v>141.5</v>
      </c>
      <c r="AH240">
        <v>415.20000000000005</v>
      </c>
    </row>
    <row r="241" spans="1:34" x14ac:dyDescent="0.35">
      <c r="A241" t="s">
        <v>34</v>
      </c>
      <c r="B241">
        <v>2019</v>
      </c>
      <c r="C241" t="s">
        <v>41</v>
      </c>
      <c r="D241">
        <v>140.1</v>
      </c>
      <c r="E241">
        <v>160.6</v>
      </c>
      <c r="F241">
        <v>138.5</v>
      </c>
      <c r="G241">
        <v>144.69999999999999</v>
      </c>
      <c r="H241">
        <v>122.9</v>
      </c>
      <c r="I241">
        <v>149.4</v>
      </c>
      <c r="J241">
        <v>167.4</v>
      </c>
      <c r="K241">
        <v>130.9</v>
      </c>
      <c r="L241">
        <v>112</v>
      </c>
      <c r="M241">
        <v>142.6</v>
      </c>
      <c r="N241">
        <v>134.9</v>
      </c>
      <c r="O241">
        <v>156.6</v>
      </c>
      <c r="P241">
        <v>145.9</v>
      </c>
      <c r="Q241">
        <v>165.8</v>
      </c>
      <c r="R241">
        <v>149.1</v>
      </c>
      <c r="S241">
        <v>140.6</v>
      </c>
      <c r="T241">
        <v>147.9</v>
      </c>
      <c r="U241">
        <v>151.6</v>
      </c>
      <c r="V241">
        <v>138.5</v>
      </c>
      <c r="W241">
        <v>144.5</v>
      </c>
      <c r="X241">
        <v>148.5</v>
      </c>
      <c r="Y241">
        <v>125.8</v>
      </c>
      <c r="Z241">
        <v>140.9</v>
      </c>
      <c r="AA241">
        <v>154.9</v>
      </c>
      <c r="AB241">
        <v>138.4</v>
      </c>
      <c r="AC241">
        <v>140.19999999999999</v>
      </c>
      <c r="AD241">
        <v>145</v>
      </c>
      <c r="AE241">
        <v>1846.5</v>
      </c>
      <c r="AF241">
        <v>718.3</v>
      </c>
      <c r="AG241">
        <v>148.5</v>
      </c>
      <c r="AH241">
        <v>434.6</v>
      </c>
    </row>
    <row r="242" spans="1:34" x14ac:dyDescent="0.35">
      <c r="A242" t="s">
        <v>30</v>
      </c>
      <c r="B242">
        <v>2019</v>
      </c>
      <c r="C242" t="s">
        <v>42</v>
      </c>
      <c r="D242">
        <v>140.1</v>
      </c>
      <c r="E242">
        <v>161.9</v>
      </c>
      <c r="F242">
        <v>138.30000000000001</v>
      </c>
      <c r="G242">
        <v>145.69999999999999</v>
      </c>
      <c r="H242">
        <v>125.1</v>
      </c>
      <c r="I242">
        <v>143.80000000000001</v>
      </c>
      <c r="J242">
        <v>163.4</v>
      </c>
      <c r="K242">
        <v>132.19999999999999</v>
      </c>
      <c r="L242">
        <v>112.8</v>
      </c>
      <c r="M242">
        <v>144.19999999999999</v>
      </c>
      <c r="N242">
        <v>138.5</v>
      </c>
      <c r="O242">
        <v>157.19999999999999</v>
      </c>
      <c r="P242">
        <v>145.5</v>
      </c>
      <c r="Q242">
        <v>165.7</v>
      </c>
      <c r="R242">
        <v>151.69999999999999</v>
      </c>
      <c r="S242">
        <v>146.6</v>
      </c>
      <c r="T242">
        <v>151</v>
      </c>
      <c r="U242" t="s">
        <v>32</v>
      </c>
      <c r="V242">
        <v>146.9</v>
      </c>
      <c r="W242">
        <v>150.30000000000001</v>
      </c>
      <c r="X242">
        <v>153.4</v>
      </c>
      <c r="Y242">
        <v>131.6</v>
      </c>
      <c r="Z242">
        <v>148.30000000000001</v>
      </c>
      <c r="AA242">
        <v>160.19999999999999</v>
      </c>
      <c r="AB242">
        <v>140.19999999999999</v>
      </c>
      <c r="AC242">
        <v>145.4</v>
      </c>
      <c r="AD242">
        <v>146.69999999999999</v>
      </c>
      <c r="AE242">
        <v>1848.7</v>
      </c>
      <c r="AF242">
        <v>741.09999999999991</v>
      </c>
      <c r="AG242">
        <v>153.4</v>
      </c>
      <c r="AH242">
        <v>297.20000000000005</v>
      </c>
    </row>
    <row r="243" spans="1:34" x14ac:dyDescent="0.35">
      <c r="A243" t="s">
        <v>33</v>
      </c>
      <c r="B243">
        <v>2019</v>
      </c>
      <c r="C243" t="s">
        <v>42</v>
      </c>
      <c r="D243">
        <v>142.69999999999999</v>
      </c>
      <c r="E243">
        <v>158.69999999999999</v>
      </c>
      <c r="F243">
        <v>141.6</v>
      </c>
      <c r="G243">
        <v>144.9</v>
      </c>
      <c r="H243">
        <v>120.8</v>
      </c>
      <c r="I243">
        <v>149.80000000000001</v>
      </c>
      <c r="J243">
        <v>192.4</v>
      </c>
      <c r="K243">
        <v>130.30000000000001</v>
      </c>
      <c r="L243">
        <v>114</v>
      </c>
      <c r="M243">
        <v>143.80000000000001</v>
      </c>
      <c r="N243">
        <v>130</v>
      </c>
      <c r="O243">
        <v>156.4</v>
      </c>
      <c r="P243">
        <v>149.5</v>
      </c>
      <c r="Q243">
        <v>168.6</v>
      </c>
      <c r="R243">
        <v>145.30000000000001</v>
      </c>
      <c r="S243">
        <v>132.19999999999999</v>
      </c>
      <c r="T243">
        <v>143.30000000000001</v>
      </c>
      <c r="U243">
        <v>152.19999999999999</v>
      </c>
      <c r="V243">
        <v>126.6</v>
      </c>
      <c r="W243">
        <v>138.30000000000001</v>
      </c>
      <c r="X243">
        <v>141.9</v>
      </c>
      <c r="Y243">
        <v>121.2</v>
      </c>
      <c r="Z243">
        <v>135.9</v>
      </c>
      <c r="AA243">
        <v>151.6</v>
      </c>
      <c r="AB243">
        <v>139</v>
      </c>
      <c r="AC243">
        <v>135.69999999999999</v>
      </c>
      <c r="AD243">
        <v>144.69999999999999</v>
      </c>
      <c r="AE243">
        <v>1874.9</v>
      </c>
      <c r="AF243">
        <v>693.6</v>
      </c>
      <c r="AG243">
        <v>141.9</v>
      </c>
      <c r="AH243">
        <v>417.09999999999997</v>
      </c>
    </row>
    <row r="244" spans="1:34" x14ac:dyDescent="0.35">
      <c r="A244" t="s">
        <v>34</v>
      </c>
      <c r="B244">
        <v>2019</v>
      </c>
      <c r="C244" t="s">
        <v>42</v>
      </c>
      <c r="D244">
        <v>140.9</v>
      </c>
      <c r="E244">
        <v>160.80000000000001</v>
      </c>
      <c r="F244">
        <v>139.6</v>
      </c>
      <c r="G244">
        <v>145.4</v>
      </c>
      <c r="H244">
        <v>123.5</v>
      </c>
      <c r="I244">
        <v>146.6</v>
      </c>
      <c r="J244">
        <v>173.2</v>
      </c>
      <c r="K244">
        <v>131.6</v>
      </c>
      <c r="L244">
        <v>113.2</v>
      </c>
      <c r="M244">
        <v>144.1</v>
      </c>
      <c r="N244">
        <v>135</v>
      </c>
      <c r="O244">
        <v>156.80000000000001</v>
      </c>
      <c r="P244">
        <v>147</v>
      </c>
      <c r="Q244">
        <v>166.5</v>
      </c>
      <c r="R244">
        <v>149.19999999999999</v>
      </c>
      <c r="S244">
        <v>140.6</v>
      </c>
      <c r="T244">
        <v>147.9</v>
      </c>
      <c r="U244">
        <v>152.19999999999999</v>
      </c>
      <c r="V244">
        <v>139.19999999999999</v>
      </c>
      <c r="W244">
        <v>144.6</v>
      </c>
      <c r="X244">
        <v>149</v>
      </c>
      <c r="Y244">
        <v>126.1</v>
      </c>
      <c r="Z244">
        <v>141.30000000000001</v>
      </c>
      <c r="AA244">
        <v>155.19999999999999</v>
      </c>
      <c r="AB244">
        <v>139.69999999999999</v>
      </c>
      <c r="AC244">
        <v>140.69999999999999</v>
      </c>
      <c r="AD244">
        <v>145.80000000000001</v>
      </c>
      <c r="AE244">
        <v>1857.6999999999998</v>
      </c>
      <c r="AF244">
        <v>719</v>
      </c>
      <c r="AG244">
        <v>149</v>
      </c>
      <c r="AH244">
        <v>436</v>
      </c>
    </row>
    <row r="245" spans="1:34" x14ac:dyDescent="0.35">
      <c r="A245" t="s">
        <v>30</v>
      </c>
      <c r="B245">
        <v>2019</v>
      </c>
      <c r="C245" t="s">
        <v>43</v>
      </c>
      <c r="D245">
        <v>141</v>
      </c>
      <c r="E245">
        <v>161.6</v>
      </c>
      <c r="F245">
        <v>141.19999999999999</v>
      </c>
      <c r="G245">
        <v>146.5</v>
      </c>
      <c r="H245">
        <v>125.6</v>
      </c>
      <c r="I245">
        <v>145.69999999999999</v>
      </c>
      <c r="J245">
        <v>178.8</v>
      </c>
      <c r="K245">
        <v>133.1</v>
      </c>
      <c r="L245">
        <v>113.6</v>
      </c>
      <c r="M245">
        <v>145.5</v>
      </c>
      <c r="N245">
        <v>138.6</v>
      </c>
      <c r="O245">
        <v>157.4</v>
      </c>
      <c r="P245">
        <v>148.30000000000001</v>
      </c>
      <c r="Q245">
        <v>166.3</v>
      </c>
      <c r="R245">
        <v>151.69999999999999</v>
      </c>
      <c r="S245">
        <v>146.69999999999999</v>
      </c>
      <c r="T245">
        <v>151</v>
      </c>
      <c r="U245" t="s">
        <v>32</v>
      </c>
      <c r="V245">
        <v>147.69999999999999</v>
      </c>
      <c r="W245">
        <v>150.6</v>
      </c>
      <c r="X245">
        <v>153.69999999999999</v>
      </c>
      <c r="Y245">
        <v>131.69999999999999</v>
      </c>
      <c r="Z245">
        <v>148.69999999999999</v>
      </c>
      <c r="AA245">
        <v>160.69999999999999</v>
      </c>
      <c r="AB245">
        <v>140.30000000000001</v>
      </c>
      <c r="AC245">
        <v>145.69999999999999</v>
      </c>
      <c r="AD245">
        <v>148.30000000000001</v>
      </c>
      <c r="AE245">
        <v>1876.8999999999996</v>
      </c>
      <c r="AF245">
        <v>741.8</v>
      </c>
      <c r="AG245">
        <v>153.69999999999999</v>
      </c>
      <c r="AH245">
        <v>298.29999999999995</v>
      </c>
    </row>
    <row r="246" spans="1:34" x14ac:dyDescent="0.35">
      <c r="A246" t="s">
        <v>33</v>
      </c>
      <c r="B246">
        <v>2019</v>
      </c>
      <c r="C246" t="s">
        <v>43</v>
      </c>
      <c r="D246">
        <v>143.5</v>
      </c>
      <c r="E246">
        <v>159.80000000000001</v>
      </c>
      <c r="F246">
        <v>144.69999999999999</v>
      </c>
      <c r="G246">
        <v>145.6</v>
      </c>
      <c r="H246">
        <v>121.1</v>
      </c>
      <c r="I246">
        <v>150.6</v>
      </c>
      <c r="J246">
        <v>207.2</v>
      </c>
      <c r="K246">
        <v>131.19999999999999</v>
      </c>
      <c r="L246">
        <v>114.8</v>
      </c>
      <c r="M246">
        <v>145.19999999999999</v>
      </c>
      <c r="N246">
        <v>130.19999999999999</v>
      </c>
      <c r="O246">
        <v>156.80000000000001</v>
      </c>
      <c r="P246">
        <v>151.9</v>
      </c>
      <c r="Q246">
        <v>169.3</v>
      </c>
      <c r="R246">
        <v>145.9</v>
      </c>
      <c r="S246">
        <v>132.4</v>
      </c>
      <c r="T246">
        <v>143.9</v>
      </c>
      <c r="U246">
        <v>153</v>
      </c>
      <c r="V246">
        <v>128.9</v>
      </c>
      <c r="W246">
        <v>138.69999999999999</v>
      </c>
      <c r="X246">
        <v>142.4</v>
      </c>
      <c r="Y246">
        <v>121.5</v>
      </c>
      <c r="Z246">
        <v>136.19999999999999</v>
      </c>
      <c r="AA246">
        <v>151.69999999999999</v>
      </c>
      <c r="AB246">
        <v>139.5</v>
      </c>
      <c r="AC246">
        <v>136</v>
      </c>
      <c r="AD246">
        <v>146</v>
      </c>
      <c r="AE246">
        <v>1902.6000000000001</v>
      </c>
      <c r="AF246">
        <v>695.40000000000009</v>
      </c>
      <c r="AG246">
        <v>142.4</v>
      </c>
      <c r="AH246">
        <v>420.59999999999997</v>
      </c>
    </row>
    <row r="247" spans="1:34" x14ac:dyDescent="0.35">
      <c r="A247" t="s">
        <v>34</v>
      </c>
      <c r="B247">
        <v>2019</v>
      </c>
      <c r="C247" t="s">
        <v>43</v>
      </c>
      <c r="D247">
        <v>141.80000000000001</v>
      </c>
      <c r="E247">
        <v>161</v>
      </c>
      <c r="F247">
        <v>142.6</v>
      </c>
      <c r="G247">
        <v>146.19999999999999</v>
      </c>
      <c r="H247">
        <v>123.9</v>
      </c>
      <c r="I247">
        <v>148</v>
      </c>
      <c r="J247">
        <v>188.4</v>
      </c>
      <c r="K247">
        <v>132.5</v>
      </c>
      <c r="L247">
        <v>114</v>
      </c>
      <c r="M247">
        <v>145.4</v>
      </c>
      <c r="N247">
        <v>135.1</v>
      </c>
      <c r="O247">
        <v>157.1</v>
      </c>
      <c r="P247">
        <v>149.6</v>
      </c>
      <c r="Q247">
        <v>167.1</v>
      </c>
      <c r="R247">
        <v>149.4</v>
      </c>
      <c r="S247">
        <v>140.80000000000001</v>
      </c>
      <c r="T247">
        <v>148.19999999999999</v>
      </c>
      <c r="U247">
        <v>153</v>
      </c>
      <c r="V247">
        <v>140.6</v>
      </c>
      <c r="W247">
        <v>145</v>
      </c>
      <c r="X247">
        <v>149.4</v>
      </c>
      <c r="Y247">
        <v>126.3</v>
      </c>
      <c r="Z247">
        <v>141.69999999999999</v>
      </c>
      <c r="AA247">
        <v>155.4</v>
      </c>
      <c r="AB247">
        <v>140</v>
      </c>
      <c r="AC247">
        <v>141</v>
      </c>
      <c r="AD247">
        <v>147.19999999999999</v>
      </c>
      <c r="AE247">
        <v>1885.5999999999997</v>
      </c>
      <c r="AF247">
        <v>720.1</v>
      </c>
      <c r="AG247">
        <v>149.4</v>
      </c>
      <c r="AH247">
        <v>438.6</v>
      </c>
    </row>
    <row r="248" spans="1:34" x14ac:dyDescent="0.35">
      <c r="A248" t="s">
        <v>30</v>
      </c>
      <c r="B248">
        <v>2019</v>
      </c>
      <c r="C248" t="s">
        <v>45</v>
      </c>
      <c r="D248">
        <v>141.80000000000001</v>
      </c>
      <c r="E248">
        <v>163.69999999999999</v>
      </c>
      <c r="F248">
        <v>143.80000000000001</v>
      </c>
      <c r="G248">
        <v>147.1</v>
      </c>
      <c r="H248">
        <v>126</v>
      </c>
      <c r="I248">
        <v>146.19999999999999</v>
      </c>
      <c r="J248">
        <v>191.4</v>
      </c>
      <c r="K248">
        <v>136.19999999999999</v>
      </c>
      <c r="L248">
        <v>113.8</v>
      </c>
      <c r="M248">
        <v>147.30000000000001</v>
      </c>
      <c r="N248">
        <v>138.69999999999999</v>
      </c>
      <c r="O248">
        <v>157.69999999999999</v>
      </c>
      <c r="P248">
        <v>150.9</v>
      </c>
      <c r="Q248">
        <v>167.2</v>
      </c>
      <c r="R248">
        <v>152.30000000000001</v>
      </c>
      <c r="S248">
        <v>147</v>
      </c>
      <c r="T248">
        <v>151.5</v>
      </c>
      <c r="U248" t="s">
        <v>32</v>
      </c>
      <c r="V248">
        <v>148.4</v>
      </c>
      <c r="W248">
        <v>150.9</v>
      </c>
      <c r="X248">
        <v>154.30000000000001</v>
      </c>
      <c r="Y248">
        <v>132.1</v>
      </c>
      <c r="Z248">
        <v>149.1</v>
      </c>
      <c r="AA248">
        <v>160.80000000000001</v>
      </c>
      <c r="AB248">
        <v>140.6</v>
      </c>
      <c r="AC248">
        <v>146.1</v>
      </c>
      <c r="AD248">
        <v>149.9</v>
      </c>
      <c r="AE248">
        <v>1904.6000000000001</v>
      </c>
      <c r="AF248">
        <v>743.7</v>
      </c>
      <c r="AG248">
        <v>154.30000000000001</v>
      </c>
      <c r="AH248">
        <v>299.3</v>
      </c>
    </row>
    <row r="249" spans="1:34" x14ac:dyDescent="0.35">
      <c r="A249" t="s">
        <v>33</v>
      </c>
      <c r="B249">
        <v>2019</v>
      </c>
      <c r="C249" t="s">
        <v>45</v>
      </c>
      <c r="D249">
        <v>144.1</v>
      </c>
      <c r="E249">
        <v>162.4</v>
      </c>
      <c r="F249">
        <v>148.4</v>
      </c>
      <c r="G249">
        <v>145.9</v>
      </c>
      <c r="H249">
        <v>121.5</v>
      </c>
      <c r="I249">
        <v>148.80000000000001</v>
      </c>
      <c r="J249">
        <v>215.7</v>
      </c>
      <c r="K249">
        <v>134.6</v>
      </c>
      <c r="L249">
        <v>115</v>
      </c>
      <c r="M249">
        <v>146.30000000000001</v>
      </c>
      <c r="N249">
        <v>130.5</v>
      </c>
      <c r="O249">
        <v>157.19999999999999</v>
      </c>
      <c r="P249">
        <v>153.6</v>
      </c>
      <c r="Q249">
        <v>169.9</v>
      </c>
      <c r="R249">
        <v>146.30000000000001</v>
      </c>
      <c r="S249">
        <v>132.6</v>
      </c>
      <c r="T249">
        <v>144.19999999999999</v>
      </c>
      <c r="U249">
        <v>153.5</v>
      </c>
      <c r="V249">
        <v>132.19999999999999</v>
      </c>
      <c r="W249">
        <v>139.1</v>
      </c>
      <c r="X249">
        <v>142.80000000000001</v>
      </c>
      <c r="Y249">
        <v>121.7</v>
      </c>
      <c r="Z249">
        <v>136.69999999999999</v>
      </c>
      <c r="AA249">
        <v>151.80000000000001</v>
      </c>
      <c r="AB249">
        <v>139.80000000000001</v>
      </c>
      <c r="AC249">
        <v>136.30000000000001</v>
      </c>
      <c r="AD249">
        <v>147</v>
      </c>
      <c r="AE249">
        <v>1923.9999999999998</v>
      </c>
      <c r="AF249">
        <v>696.59999999999991</v>
      </c>
      <c r="AG249">
        <v>142.80000000000001</v>
      </c>
      <c r="AH249">
        <v>424.79999999999995</v>
      </c>
    </row>
    <row r="250" spans="1:34" x14ac:dyDescent="0.35">
      <c r="A250" t="s">
        <v>34</v>
      </c>
      <c r="B250">
        <v>2019</v>
      </c>
      <c r="C250" t="s">
        <v>45</v>
      </c>
      <c r="D250">
        <v>142.5</v>
      </c>
      <c r="E250">
        <v>163.19999999999999</v>
      </c>
      <c r="F250">
        <v>145.6</v>
      </c>
      <c r="G250">
        <v>146.69999999999999</v>
      </c>
      <c r="H250">
        <v>124.3</v>
      </c>
      <c r="I250">
        <v>147.4</v>
      </c>
      <c r="J250">
        <v>199.6</v>
      </c>
      <c r="K250">
        <v>135.69999999999999</v>
      </c>
      <c r="L250">
        <v>114.2</v>
      </c>
      <c r="M250">
        <v>147</v>
      </c>
      <c r="N250">
        <v>135.30000000000001</v>
      </c>
      <c r="O250">
        <v>157.5</v>
      </c>
      <c r="P250">
        <v>151.9</v>
      </c>
      <c r="Q250">
        <v>167.9</v>
      </c>
      <c r="R250">
        <v>149.9</v>
      </c>
      <c r="S250">
        <v>141</v>
      </c>
      <c r="T250">
        <v>148.6</v>
      </c>
      <c r="U250">
        <v>153.5</v>
      </c>
      <c r="V250">
        <v>142.30000000000001</v>
      </c>
      <c r="W250">
        <v>145.30000000000001</v>
      </c>
      <c r="X250">
        <v>149.9</v>
      </c>
      <c r="Y250">
        <v>126.6</v>
      </c>
      <c r="Z250">
        <v>142.1</v>
      </c>
      <c r="AA250">
        <v>155.5</v>
      </c>
      <c r="AB250">
        <v>140.30000000000001</v>
      </c>
      <c r="AC250">
        <v>141.30000000000001</v>
      </c>
      <c r="AD250">
        <v>148.6</v>
      </c>
      <c r="AE250">
        <v>1910.9</v>
      </c>
      <c r="AF250">
        <v>721.6</v>
      </c>
      <c r="AG250">
        <v>149.9</v>
      </c>
      <c r="AH250">
        <v>441.1</v>
      </c>
    </row>
    <row r="251" spans="1:34" x14ac:dyDescent="0.35">
      <c r="A251" t="s">
        <v>30</v>
      </c>
      <c r="B251">
        <v>2019</v>
      </c>
      <c r="C251" t="s">
        <v>46</v>
      </c>
      <c r="D251">
        <v>142.80000000000001</v>
      </c>
      <c r="E251">
        <v>165.3</v>
      </c>
      <c r="F251">
        <v>149.5</v>
      </c>
      <c r="G251">
        <v>148.69999999999999</v>
      </c>
      <c r="H251">
        <v>127.5</v>
      </c>
      <c r="I251">
        <v>144.30000000000001</v>
      </c>
      <c r="J251">
        <v>209.5</v>
      </c>
      <c r="K251">
        <v>138.80000000000001</v>
      </c>
      <c r="L251">
        <v>113.6</v>
      </c>
      <c r="M251">
        <v>149.1</v>
      </c>
      <c r="N251">
        <v>139.30000000000001</v>
      </c>
      <c r="O251">
        <v>158.30000000000001</v>
      </c>
      <c r="P251">
        <v>154.30000000000001</v>
      </c>
      <c r="Q251">
        <v>167.8</v>
      </c>
      <c r="R251">
        <v>152.6</v>
      </c>
      <c r="S251">
        <v>147.30000000000001</v>
      </c>
      <c r="T251">
        <v>151.9</v>
      </c>
      <c r="U251" t="s">
        <v>32</v>
      </c>
      <c r="V251">
        <v>149.9</v>
      </c>
      <c r="W251">
        <v>151.19999999999999</v>
      </c>
      <c r="X251">
        <v>154.80000000000001</v>
      </c>
      <c r="Y251">
        <v>135</v>
      </c>
      <c r="Z251">
        <v>149.5</v>
      </c>
      <c r="AA251">
        <v>161.1</v>
      </c>
      <c r="AB251">
        <v>140.6</v>
      </c>
      <c r="AC251">
        <v>147.1</v>
      </c>
      <c r="AD251">
        <v>152.30000000000001</v>
      </c>
      <c r="AE251">
        <v>1940.9999999999995</v>
      </c>
      <c r="AF251">
        <v>747.9</v>
      </c>
      <c r="AG251">
        <v>154.80000000000001</v>
      </c>
      <c r="AH251">
        <v>301.10000000000002</v>
      </c>
    </row>
    <row r="252" spans="1:34" x14ac:dyDescent="0.35">
      <c r="A252" t="s">
        <v>33</v>
      </c>
      <c r="B252">
        <v>2019</v>
      </c>
      <c r="C252" t="s">
        <v>46</v>
      </c>
      <c r="D252">
        <v>144.9</v>
      </c>
      <c r="E252">
        <v>164.5</v>
      </c>
      <c r="F252">
        <v>153.69999999999999</v>
      </c>
      <c r="G252">
        <v>147.5</v>
      </c>
      <c r="H252">
        <v>122.7</v>
      </c>
      <c r="I252">
        <v>147.19999999999999</v>
      </c>
      <c r="J252">
        <v>231.5</v>
      </c>
      <c r="K252">
        <v>137.19999999999999</v>
      </c>
      <c r="L252">
        <v>114.7</v>
      </c>
      <c r="M252">
        <v>148</v>
      </c>
      <c r="N252">
        <v>130.80000000000001</v>
      </c>
      <c r="O252">
        <v>157.69999999999999</v>
      </c>
      <c r="P252">
        <v>156.30000000000001</v>
      </c>
      <c r="Q252">
        <v>170.4</v>
      </c>
      <c r="R252">
        <v>146.80000000000001</v>
      </c>
      <c r="S252">
        <v>132.80000000000001</v>
      </c>
      <c r="T252">
        <v>144.6</v>
      </c>
      <c r="U252">
        <v>152.80000000000001</v>
      </c>
      <c r="V252">
        <v>133.6</v>
      </c>
      <c r="W252">
        <v>139.80000000000001</v>
      </c>
      <c r="X252">
        <v>143.19999999999999</v>
      </c>
      <c r="Y252">
        <v>125.2</v>
      </c>
      <c r="Z252">
        <v>136.80000000000001</v>
      </c>
      <c r="AA252">
        <v>151.9</v>
      </c>
      <c r="AB252">
        <v>140.19999999999999</v>
      </c>
      <c r="AC252">
        <v>137.69999999999999</v>
      </c>
      <c r="AD252">
        <v>148.30000000000001</v>
      </c>
      <c r="AE252">
        <v>1956.7</v>
      </c>
      <c r="AF252">
        <v>701.30000000000007</v>
      </c>
      <c r="AG252">
        <v>143.19999999999999</v>
      </c>
      <c r="AH252">
        <v>426.2</v>
      </c>
    </row>
    <row r="253" spans="1:34" x14ac:dyDescent="0.35">
      <c r="A253" t="s">
        <v>34</v>
      </c>
      <c r="B253">
        <v>2019</v>
      </c>
      <c r="C253" t="s">
        <v>46</v>
      </c>
      <c r="D253">
        <v>143.5</v>
      </c>
      <c r="E253">
        <v>165</v>
      </c>
      <c r="F253">
        <v>151.1</v>
      </c>
      <c r="G253">
        <v>148.30000000000001</v>
      </c>
      <c r="H253">
        <v>125.7</v>
      </c>
      <c r="I253">
        <v>145.69999999999999</v>
      </c>
      <c r="J253">
        <v>217</v>
      </c>
      <c r="K253">
        <v>138.30000000000001</v>
      </c>
      <c r="L253">
        <v>114</v>
      </c>
      <c r="M253">
        <v>148.69999999999999</v>
      </c>
      <c r="N253">
        <v>135.80000000000001</v>
      </c>
      <c r="O253">
        <v>158</v>
      </c>
      <c r="P253">
        <v>155</v>
      </c>
      <c r="Q253">
        <v>168.5</v>
      </c>
      <c r="R253">
        <v>150.30000000000001</v>
      </c>
      <c r="S253">
        <v>141.30000000000001</v>
      </c>
      <c r="T253">
        <v>149</v>
      </c>
      <c r="U253">
        <v>152.80000000000001</v>
      </c>
      <c r="V253">
        <v>143.69999999999999</v>
      </c>
      <c r="W253">
        <v>145.80000000000001</v>
      </c>
      <c r="X253">
        <v>150.4</v>
      </c>
      <c r="Y253">
        <v>129.80000000000001</v>
      </c>
      <c r="Z253">
        <v>142.30000000000001</v>
      </c>
      <c r="AA253">
        <v>155.69999999999999</v>
      </c>
      <c r="AB253">
        <v>140.4</v>
      </c>
      <c r="AC253">
        <v>142.5</v>
      </c>
      <c r="AD253">
        <v>150.4</v>
      </c>
      <c r="AE253">
        <v>1946.1000000000001</v>
      </c>
      <c r="AF253">
        <v>726.10000000000014</v>
      </c>
      <c r="AG253">
        <v>150.4</v>
      </c>
      <c r="AH253">
        <v>442.3</v>
      </c>
    </row>
    <row r="254" spans="1:34" x14ac:dyDescent="0.35">
      <c r="A254" t="s">
        <v>30</v>
      </c>
      <c r="B254">
        <v>2020</v>
      </c>
      <c r="C254" t="s">
        <v>31</v>
      </c>
      <c r="D254">
        <v>143.69999999999999</v>
      </c>
      <c r="E254">
        <v>167.3</v>
      </c>
      <c r="F254">
        <v>153.5</v>
      </c>
      <c r="G254">
        <v>150.5</v>
      </c>
      <c r="H254">
        <v>132</v>
      </c>
      <c r="I254">
        <v>142.19999999999999</v>
      </c>
      <c r="J254">
        <v>191.5</v>
      </c>
      <c r="K254">
        <v>141.1</v>
      </c>
      <c r="L254">
        <v>113.8</v>
      </c>
      <c r="M254">
        <v>151.6</v>
      </c>
      <c r="N254">
        <v>139.69999999999999</v>
      </c>
      <c r="O254">
        <v>158.69999999999999</v>
      </c>
      <c r="P254">
        <v>153</v>
      </c>
      <c r="Q254">
        <v>168.6</v>
      </c>
      <c r="R254">
        <v>152.80000000000001</v>
      </c>
      <c r="S254">
        <v>147.4</v>
      </c>
      <c r="T254">
        <v>152.1</v>
      </c>
      <c r="U254" t="s">
        <v>32</v>
      </c>
      <c r="V254">
        <v>150.4</v>
      </c>
      <c r="W254">
        <v>151.69999999999999</v>
      </c>
      <c r="X254">
        <v>155.69999999999999</v>
      </c>
      <c r="Y254">
        <v>136.30000000000001</v>
      </c>
      <c r="Z254">
        <v>150.1</v>
      </c>
      <c r="AA254">
        <v>161.69999999999999</v>
      </c>
      <c r="AB254">
        <v>142.5</v>
      </c>
      <c r="AC254">
        <v>148.1</v>
      </c>
      <c r="AD254">
        <v>151.9</v>
      </c>
      <c r="AE254">
        <v>1938.6</v>
      </c>
      <c r="AF254">
        <v>750.30000000000018</v>
      </c>
      <c r="AG254">
        <v>155.69999999999999</v>
      </c>
      <c r="AH254">
        <v>302.10000000000002</v>
      </c>
    </row>
    <row r="255" spans="1:34" x14ac:dyDescent="0.35">
      <c r="A255" t="s">
        <v>33</v>
      </c>
      <c r="B255">
        <v>2020</v>
      </c>
      <c r="C255" t="s">
        <v>31</v>
      </c>
      <c r="D255">
        <v>145.6</v>
      </c>
      <c r="E255">
        <v>167.6</v>
      </c>
      <c r="F255">
        <v>157</v>
      </c>
      <c r="G255">
        <v>149.30000000000001</v>
      </c>
      <c r="H255">
        <v>126.3</v>
      </c>
      <c r="I255">
        <v>144.4</v>
      </c>
      <c r="J255">
        <v>207.8</v>
      </c>
      <c r="K255">
        <v>139.1</v>
      </c>
      <c r="L255">
        <v>114.8</v>
      </c>
      <c r="M255">
        <v>149.5</v>
      </c>
      <c r="N255">
        <v>131.1</v>
      </c>
      <c r="O255">
        <v>158.5</v>
      </c>
      <c r="P255">
        <v>154.4</v>
      </c>
      <c r="Q255">
        <v>170.8</v>
      </c>
      <c r="R255">
        <v>147</v>
      </c>
      <c r="S255">
        <v>133.19999999999999</v>
      </c>
      <c r="T255">
        <v>144.9</v>
      </c>
      <c r="U255">
        <v>153.9</v>
      </c>
      <c r="V255">
        <v>135.1</v>
      </c>
      <c r="W255">
        <v>140.1</v>
      </c>
      <c r="X255">
        <v>143.80000000000001</v>
      </c>
      <c r="Y255">
        <v>126.1</v>
      </c>
      <c r="Z255">
        <v>137.19999999999999</v>
      </c>
      <c r="AA255">
        <v>152.1</v>
      </c>
      <c r="AB255">
        <v>142.1</v>
      </c>
      <c r="AC255">
        <v>138.4</v>
      </c>
      <c r="AD255">
        <v>148.19999999999999</v>
      </c>
      <c r="AE255">
        <v>1945.3999999999999</v>
      </c>
      <c r="AF255">
        <v>703.30000000000007</v>
      </c>
      <c r="AG255">
        <v>143.80000000000001</v>
      </c>
      <c r="AH255">
        <v>429.1</v>
      </c>
    </row>
    <row r="256" spans="1:34" x14ac:dyDescent="0.35">
      <c r="A256" t="s">
        <v>34</v>
      </c>
      <c r="B256">
        <v>2020</v>
      </c>
      <c r="C256" t="s">
        <v>31</v>
      </c>
      <c r="D256">
        <v>144.30000000000001</v>
      </c>
      <c r="E256">
        <v>167.4</v>
      </c>
      <c r="F256">
        <v>154.9</v>
      </c>
      <c r="G256">
        <v>150.1</v>
      </c>
      <c r="H256">
        <v>129.9</v>
      </c>
      <c r="I256">
        <v>143.19999999999999</v>
      </c>
      <c r="J256">
        <v>197</v>
      </c>
      <c r="K256">
        <v>140.4</v>
      </c>
      <c r="L256">
        <v>114.1</v>
      </c>
      <c r="M256">
        <v>150.9</v>
      </c>
      <c r="N256">
        <v>136.1</v>
      </c>
      <c r="O256">
        <v>158.6</v>
      </c>
      <c r="P256">
        <v>153.5</v>
      </c>
      <c r="Q256">
        <v>169.2</v>
      </c>
      <c r="R256">
        <v>150.5</v>
      </c>
      <c r="S256">
        <v>141.5</v>
      </c>
      <c r="T256">
        <v>149.19999999999999</v>
      </c>
      <c r="U256">
        <v>153.9</v>
      </c>
      <c r="V256">
        <v>144.6</v>
      </c>
      <c r="W256">
        <v>146.19999999999999</v>
      </c>
      <c r="X256">
        <v>151.19999999999999</v>
      </c>
      <c r="Y256">
        <v>130.9</v>
      </c>
      <c r="Z256">
        <v>142.80000000000001</v>
      </c>
      <c r="AA256">
        <v>156.1</v>
      </c>
      <c r="AB256">
        <v>142.30000000000001</v>
      </c>
      <c r="AC256">
        <v>143.4</v>
      </c>
      <c r="AD256">
        <v>150.19999999999999</v>
      </c>
      <c r="AE256">
        <v>1940.3999999999999</v>
      </c>
      <c r="AF256">
        <v>728.2</v>
      </c>
      <c r="AG256">
        <v>151.19999999999999</v>
      </c>
      <c r="AH256">
        <v>444.7</v>
      </c>
    </row>
    <row r="257" spans="1:34" x14ac:dyDescent="0.35">
      <c r="A257" t="s">
        <v>30</v>
      </c>
      <c r="B257">
        <v>2020</v>
      </c>
      <c r="C257" t="s">
        <v>35</v>
      </c>
      <c r="D257">
        <v>144.19999999999999</v>
      </c>
      <c r="E257">
        <v>167.5</v>
      </c>
      <c r="F257">
        <v>150.9</v>
      </c>
      <c r="G257">
        <v>150.9</v>
      </c>
      <c r="H257">
        <v>133.69999999999999</v>
      </c>
      <c r="I257">
        <v>140.69999999999999</v>
      </c>
      <c r="J257">
        <v>165.1</v>
      </c>
      <c r="K257">
        <v>141.80000000000001</v>
      </c>
      <c r="L257">
        <v>113.1</v>
      </c>
      <c r="M257">
        <v>152.80000000000001</v>
      </c>
      <c r="N257">
        <v>140.1</v>
      </c>
      <c r="O257">
        <v>159.19999999999999</v>
      </c>
      <c r="P257">
        <v>149.80000000000001</v>
      </c>
      <c r="Q257">
        <v>169.4</v>
      </c>
      <c r="R257">
        <v>153</v>
      </c>
      <c r="S257">
        <v>147.5</v>
      </c>
      <c r="T257">
        <v>152.30000000000001</v>
      </c>
      <c r="U257" t="s">
        <v>32</v>
      </c>
      <c r="V257">
        <v>152.30000000000001</v>
      </c>
      <c r="W257">
        <v>151.80000000000001</v>
      </c>
      <c r="X257">
        <v>156.19999999999999</v>
      </c>
      <c r="Y257">
        <v>136</v>
      </c>
      <c r="Z257">
        <v>150.4</v>
      </c>
      <c r="AA257">
        <v>161.9</v>
      </c>
      <c r="AB257">
        <v>143.4</v>
      </c>
      <c r="AC257">
        <v>148.4</v>
      </c>
      <c r="AD257">
        <v>150.4</v>
      </c>
      <c r="AE257">
        <v>1909.7999999999997</v>
      </c>
      <c r="AF257">
        <v>750.69999999999993</v>
      </c>
      <c r="AG257">
        <v>156.19999999999999</v>
      </c>
      <c r="AH257">
        <v>304.10000000000002</v>
      </c>
    </row>
    <row r="258" spans="1:34" x14ac:dyDescent="0.35">
      <c r="A258" t="s">
        <v>33</v>
      </c>
      <c r="B258">
        <v>2020</v>
      </c>
      <c r="C258" t="s">
        <v>35</v>
      </c>
      <c r="D258">
        <v>146.19999999999999</v>
      </c>
      <c r="E258">
        <v>167.6</v>
      </c>
      <c r="F258">
        <v>153.1</v>
      </c>
      <c r="G258">
        <v>150.69999999999999</v>
      </c>
      <c r="H258">
        <v>127.4</v>
      </c>
      <c r="I258">
        <v>143.1</v>
      </c>
      <c r="J258">
        <v>181.7</v>
      </c>
      <c r="K258">
        <v>139.6</v>
      </c>
      <c r="L258">
        <v>114.6</v>
      </c>
      <c r="M258">
        <v>150.4</v>
      </c>
      <c r="N258">
        <v>131.5</v>
      </c>
      <c r="O258">
        <v>159</v>
      </c>
      <c r="P258">
        <v>151.69999999999999</v>
      </c>
      <c r="Q258">
        <v>172</v>
      </c>
      <c r="R258">
        <v>147.30000000000001</v>
      </c>
      <c r="S258">
        <v>133.5</v>
      </c>
      <c r="T258">
        <v>145.19999999999999</v>
      </c>
      <c r="U258">
        <v>154.80000000000001</v>
      </c>
      <c r="V258">
        <v>138.9</v>
      </c>
      <c r="W258">
        <v>140.4</v>
      </c>
      <c r="X258">
        <v>144.4</v>
      </c>
      <c r="Y258">
        <v>125.2</v>
      </c>
      <c r="Z258">
        <v>137.69999999999999</v>
      </c>
      <c r="AA258">
        <v>152.19999999999999</v>
      </c>
      <c r="AB258">
        <v>143.5</v>
      </c>
      <c r="AC258">
        <v>138.4</v>
      </c>
      <c r="AD258">
        <v>147.69999999999999</v>
      </c>
      <c r="AE258">
        <v>1916.6</v>
      </c>
      <c r="AF258">
        <v>703.40000000000009</v>
      </c>
      <c r="AG258">
        <v>144.4</v>
      </c>
      <c r="AH258">
        <v>434.1</v>
      </c>
    </row>
    <row r="259" spans="1:34" x14ac:dyDescent="0.35">
      <c r="A259" t="s">
        <v>34</v>
      </c>
      <c r="B259">
        <v>2020</v>
      </c>
      <c r="C259" t="s">
        <v>35</v>
      </c>
      <c r="D259">
        <v>144.80000000000001</v>
      </c>
      <c r="E259">
        <v>167.5</v>
      </c>
      <c r="F259">
        <v>151.80000000000001</v>
      </c>
      <c r="G259">
        <v>150.80000000000001</v>
      </c>
      <c r="H259">
        <v>131.4</v>
      </c>
      <c r="I259">
        <v>141.80000000000001</v>
      </c>
      <c r="J259">
        <v>170.7</v>
      </c>
      <c r="K259">
        <v>141.1</v>
      </c>
      <c r="L259">
        <v>113.6</v>
      </c>
      <c r="M259">
        <v>152</v>
      </c>
      <c r="N259">
        <v>136.5</v>
      </c>
      <c r="O259">
        <v>159.1</v>
      </c>
      <c r="P259">
        <v>150.5</v>
      </c>
      <c r="Q259">
        <v>170.1</v>
      </c>
      <c r="R259">
        <v>150.80000000000001</v>
      </c>
      <c r="S259">
        <v>141.69999999999999</v>
      </c>
      <c r="T259">
        <v>149.5</v>
      </c>
      <c r="U259">
        <v>154.80000000000001</v>
      </c>
      <c r="V259">
        <v>147.19999999999999</v>
      </c>
      <c r="W259">
        <v>146.4</v>
      </c>
      <c r="X259">
        <v>151.69999999999999</v>
      </c>
      <c r="Y259">
        <v>130.30000000000001</v>
      </c>
      <c r="Z259">
        <v>143.19999999999999</v>
      </c>
      <c r="AA259">
        <v>156.19999999999999</v>
      </c>
      <c r="AB259">
        <v>143.4</v>
      </c>
      <c r="AC259">
        <v>143.6</v>
      </c>
      <c r="AD259">
        <v>149.1</v>
      </c>
      <c r="AE259">
        <v>1911.6</v>
      </c>
      <c r="AF259">
        <v>728.5</v>
      </c>
      <c r="AG259">
        <v>151.69999999999999</v>
      </c>
      <c r="AH259">
        <v>448.4</v>
      </c>
    </row>
    <row r="260" spans="1:34" x14ac:dyDescent="0.35">
      <c r="A260" t="s">
        <v>30</v>
      </c>
      <c r="B260">
        <v>2020</v>
      </c>
      <c r="C260" t="s">
        <v>36</v>
      </c>
      <c r="D260">
        <v>144.4</v>
      </c>
      <c r="E260">
        <v>166.8</v>
      </c>
      <c r="F260">
        <v>147.6</v>
      </c>
      <c r="G260">
        <v>151.69999999999999</v>
      </c>
      <c r="H260">
        <v>133.30000000000001</v>
      </c>
      <c r="I260">
        <v>141.80000000000001</v>
      </c>
      <c r="J260">
        <v>152.30000000000001</v>
      </c>
      <c r="K260">
        <v>141.80000000000001</v>
      </c>
      <c r="L260">
        <v>112.6</v>
      </c>
      <c r="M260">
        <v>154</v>
      </c>
      <c r="N260">
        <v>140.1</v>
      </c>
      <c r="O260">
        <v>160</v>
      </c>
      <c r="P260">
        <v>148.19999999999999</v>
      </c>
      <c r="Q260">
        <v>170.5</v>
      </c>
      <c r="R260">
        <v>153.4</v>
      </c>
      <c r="S260">
        <v>147.6</v>
      </c>
      <c r="T260">
        <v>152.5</v>
      </c>
      <c r="U260" t="s">
        <v>32</v>
      </c>
      <c r="V260">
        <v>153.4</v>
      </c>
      <c r="W260">
        <v>151.5</v>
      </c>
      <c r="X260">
        <v>156.69999999999999</v>
      </c>
      <c r="Y260">
        <v>135.80000000000001</v>
      </c>
      <c r="Z260">
        <v>151.19999999999999</v>
      </c>
      <c r="AA260">
        <v>161.19999999999999</v>
      </c>
      <c r="AB260">
        <v>145.1</v>
      </c>
      <c r="AC260">
        <v>148.6</v>
      </c>
      <c r="AD260">
        <v>149.80000000000001</v>
      </c>
      <c r="AE260">
        <v>1894.5999999999997</v>
      </c>
      <c r="AF260">
        <v>750.5</v>
      </c>
      <c r="AG260">
        <v>156.69999999999999</v>
      </c>
      <c r="AH260">
        <v>304.89999999999998</v>
      </c>
    </row>
    <row r="261" spans="1:34" x14ac:dyDescent="0.35">
      <c r="A261" t="s">
        <v>33</v>
      </c>
      <c r="B261">
        <v>2020</v>
      </c>
      <c r="C261" t="s">
        <v>36</v>
      </c>
      <c r="D261">
        <v>146.5</v>
      </c>
      <c r="E261">
        <v>167.5</v>
      </c>
      <c r="F261">
        <v>148.9</v>
      </c>
      <c r="G261">
        <v>151.1</v>
      </c>
      <c r="H261">
        <v>127.5</v>
      </c>
      <c r="I261">
        <v>143.30000000000001</v>
      </c>
      <c r="J261">
        <v>167</v>
      </c>
      <c r="K261">
        <v>139.69999999999999</v>
      </c>
      <c r="L261">
        <v>114.4</v>
      </c>
      <c r="M261">
        <v>151.5</v>
      </c>
      <c r="N261">
        <v>131.9</v>
      </c>
      <c r="O261">
        <v>159.1</v>
      </c>
      <c r="P261">
        <v>150.1</v>
      </c>
      <c r="Q261">
        <v>173.3</v>
      </c>
      <c r="R261">
        <v>147.69999999999999</v>
      </c>
      <c r="S261">
        <v>133.80000000000001</v>
      </c>
      <c r="T261">
        <v>145.6</v>
      </c>
      <c r="U261">
        <v>154.5</v>
      </c>
      <c r="V261">
        <v>141.4</v>
      </c>
      <c r="W261">
        <v>140.80000000000001</v>
      </c>
      <c r="X261">
        <v>145</v>
      </c>
      <c r="Y261">
        <v>124.6</v>
      </c>
      <c r="Z261">
        <v>137.9</v>
      </c>
      <c r="AA261">
        <v>152.5</v>
      </c>
      <c r="AB261">
        <v>145.30000000000001</v>
      </c>
      <c r="AC261">
        <v>138.69999999999999</v>
      </c>
      <c r="AD261">
        <v>147.30000000000001</v>
      </c>
      <c r="AE261">
        <v>1898.5</v>
      </c>
      <c r="AF261">
        <v>704.2</v>
      </c>
      <c r="AG261">
        <v>145</v>
      </c>
      <c r="AH261">
        <v>436.7</v>
      </c>
    </row>
    <row r="262" spans="1:34" x14ac:dyDescent="0.35">
      <c r="A262" t="s">
        <v>34</v>
      </c>
      <c r="B262">
        <v>2020</v>
      </c>
      <c r="C262" t="s">
        <v>36</v>
      </c>
      <c r="D262">
        <v>145.1</v>
      </c>
      <c r="E262">
        <v>167</v>
      </c>
      <c r="F262">
        <v>148.1</v>
      </c>
      <c r="G262">
        <v>151.5</v>
      </c>
      <c r="H262">
        <v>131.19999999999999</v>
      </c>
      <c r="I262">
        <v>142.5</v>
      </c>
      <c r="J262">
        <v>157.30000000000001</v>
      </c>
      <c r="K262">
        <v>141.1</v>
      </c>
      <c r="L262">
        <v>113.2</v>
      </c>
      <c r="M262">
        <v>153.19999999999999</v>
      </c>
      <c r="N262">
        <v>136.69999999999999</v>
      </c>
      <c r="O262">
        <v>159.6</v>
      </c>
      <c r="P262">
        <v>148.9</v>
      </c>
      <c r="Q262">
        <v>171.2</v>
      </c>
      <c r="R262">
        <v>151.19999999999999</v>
      </c>
      <c r="S262">
        <v>141.9</v>
      </c>
      <c r="T262">
        <v>149.80000000000001</v>
      </c>
      <c r="U262">
        <v>154.5</v>
      </c>
      <c r="V262">
        <v>148.9</v>
      </c>
      <c r="W262">
        <v>146.4</v>
      </c>
      <c r="X262">
        <v>152.30000000000001</v>
      </c>
      <c r="Y262">
        <v>129.9</v>
      </c>
      <c r="Z262">
        <v>143.69999999999999</v>
      </c>
      <c r="AA262">
        <v>156.1</v>
      </c>
      <c r="AB262">
        <v>145.19999999999999</v>
      </c>
      <c r="AC262">
        <v>143.80000000000001</v>
      </c>
      <c r="AD262">
        <v>148.6</v>
      </c>
      <c r="AE262">
        <v>1895.4</v>
      </c>
      <c r="AF262">
        <v>728.90000000000009</v>
      </c>
      <c r="AG262">
        <v>152.30000000000001</v>
      </c>
      <c r="AH262">
        <v>449.79999999999995</v>
      </c>
    </row>
    <row r="263" spans="1:34" x14ac:dyDescent="0.35">
      <c r="A263" t="s">
        <v>30</v>
      </c>
      <c r="B263">
        <v>2020</v>
      </c>
      <c r="C263" t="s">
        <v>37</v>
      </c>
      <c r="D263">
        <v>147.19999999999999</v>
      </c>
      <c r="E263" s="2">
        <v>174.63333333333335</v>
      </c>
      <c r="F263">
        <v>146.9</v>
      </c>
      <c r="G263">
        <v>155.6</v>
      </c>
      <c r="H263">
        <v>137.1</v>
      </c>
      <c r="I263">
        <v>147.30000000000001</v>
      </c>
      <c r="J263">
        <v>162.69999999999999</v>
      </c>
      <c r="K263">
        <v>150.19999999999999</v>
      </c>
      <c r="L263">
        <v>119.8</v>
      </c>
      <c r="M263">
        <v>158.69999999999999</v>
      </c>
      <c r="N263">
        <v>139.19999999999999</v>
      </c>
      <c r="O263" s="2">
        <v>160.6</v>
      </c>
      <c r="P263">
        <v>150.1</v>
      </c>
      <c r="Q263" s="2">
        <v>174.46666666666667</v>
      </c>
      <c r="R263" s="2">
        <v>153.83333333333334</v>
      </c>
      <c r="S263" s="2">
        <v>148.4</v>
      </c>
      <c r="T263" s="2">
        <v>153.03333333333333</v>
      </c>
      <c r="U263" s="2" t="s">
        <v>32</v>
      </c>
      <c r="V263">
        <v>148.4</v>
      </c>
      <c r="W263" s="2">
        <v>151.56666666666666</v>
      </c>
      <c r="X263">
        <v>154.30000000000001</v>
      </c>
      <c r="Y263" s="2">
        <v>137.66666666666669</v>
      </c>
      <c r="Z263" s="2">
        <v>151.86666666666665</v>
      </c>
      <c r="AA263" s="2">
        <v>161.4</v>
      </c>
      <c r="AB263" s="2">
        <v>147.13333333333333</v>
      </c>
      <c r="AC263" s="2">
        <v>149.63333333333333</v>
      </c>
      <c r="AD263" s="2">
        <v>150.76666666666668</v>
      </c>
      <c r="AE263">
        <v>1950.0333333333333</v>
      </c>
      <c r="AF263">
        <v>754.33333333333337</v>
      </c>
      <c r="AG263">
        <v>154.30000000000001</v>
      </c>
      <c r="AH263">
        <v>299.9666666666667</v>
      </c>
    </row>
    <row r="264" spans="1:34" x14ac:dyDescent="0.35">
      <c r="A264" t="s">
        <v>33</v>
      </c>
      <c r="B264">
        <v>2020</v>
      </c>
      <c r="C264" t="s">
        <v>37</v>
      </c>
      <c r="D264">
        <v>151.80000000000001</v>
      </c>
      <c r="E264" s="2">
        <v>177.33333333333334</v>
      </c>
      <c r="F264">
        <v>151.9</v>
      </c>
      <c r="G264">
        <v>155.5</v>
      </c>
      <c r="H264">
        <v>131.6</v>
      </c>
      <c r="I264">
        <v>152.9</v>
      </c>
      <c r="J264">
        <v>180</v>
      </c>
      <c r="K264">
        <v>150.80000000000001</v>
      </c>
      <c r="L264">
        <v>121.2</v>
      </c>
      <c r="M264">
        <v>154</v>
      </c>
      <c r="N264">
        <v>133.5</v>
      </c>
      <c r="O264" s="2">
        <v>159.96666666666667</v>
      </c>
      <c r="P264">
        <v>153.5</v>
      </c>
      <c r="Q264" s="2">
        <v>177.76666666666668</v>
      </c>
      <c r="R264" s="2">
        <v>148.16666666666666</v>
      </c>
      <c r="S264" s="2">
        <v>134.73333333333335</v>
      </c>
      <c r="T264" s="2">
        <v>146.13333333333333</v>
      </c>
      <c r="U264">
        <v>155.6</v>
      </c>
      <c r="V264">
        <v>137.1</v>
      </c>
      <c r="W264" s="2">
        <v>140.66666666666669</v>
      </c>
      <c r="X264">
        <v>144.80000000000001</v>
      </c>
      <c r="Y264" s="2">
        <v>126.16666666666667</v>
      </c>
      <c r="Z264" s="2">
        <v>140.1</v>
      </c>
      <c r="AA264" s="2">
        <v>152.5</v>
      </c>
      <c r="AB264" s="2">
        <v>147.6</v>
      </c>
      <c r="AC264" s="2">
        <v>139.79999999999998</v>
      </c>
      <c r="AD264" s="2">
        <v>148.46666666666667</v>
      </c>
      <c r="AE264">
        <v>1974</v>
      </c>
      <c r="AF264">
        <v>707.69999999999993</v>
      </c>
      <c r="AG264">
        <v>144.80000000000001</v>
      </c>
      <c r="AH264">
        <v>433.36666666666667</v>
      </c>
    </row>
    <row r="265" spans="1:34" x14ac:dyDescent="0.35">
      <c r="A265" t="s">
        <v>34</v>
      </c>
      <c r="B265">
        <v>2020</v>
      </c>
      <c r="C265" t="s">
        <v>37</v>
      </c>
      <c r="D265">
        <v>148.69999999999999</v>
      </c>
      <c r="E265" s="2">
        <v>175.56666666666666</v>
      </c>
      <c r="F265">
        <v>148.80000000000001</v>
      </c>
      <c r="G265">
        <v>155.6</v>
      </c>
      <c r="H265">
        <v>135.1</v>
      </c>
      <c r="I265">
        <v>149.9</v>
      </c>
      <c r="J265">
        <v>168.6</v>
      </c>
      <c r="K265">
        <v>150.4</v>
      </c>
      <c r="L265">
        <v>120.3</v>
      </c>
      <c r="M265">
        <v>157.1</v>
      </c>
      <c r="N265">
        <v>136.80000000000001</v>
      </c>
      <c r="O265" s="2">
        <v>160.33333333333334</v>
      </c>
      <c r="P265">
        <v>151.4</v>
      </c>
      <c r="Q265" s="2">
        <v>175.29999999999998</v>
      </c>
      <c r="R265" s="2">
        <v>151.63333333333333</v>
      </c>
      <c r="S265" s="2">
        <v>142.73333333333335</v>
      </c>
      <c r="T265" s="2">
        <v>150.33333333333334</v>
      </c>
      <c r="U265">
        <v>155.6</v>
      </c>
      <c r="V265">
        <v>144.1</v>
      </c>
      <c r="W265" s="2">
        <v>146.4</v>
      </c>
      <c r="X265">
        <v>150.69999999999999</v>
      </c>
      <c r="Y265" s="2">
        <v>131.6</v>
      </c>
      <c r="Z265" s="2">
        <v>145.23333333333332</v>
      </c>
      <c r="AA265" s="2">
        <v>156.19999999999999</v>
      </c>
      <c r="AB265" s="2">
        <v>147.33333333333331</v>
      </c>
      <c r="AC265" s="2">
        <v>144.86666666666667</v>
      </c>
      <c r="AD265" s="2">
        <v>149.66666666666666</v>
      </c>
      <c r="AE265">
        <v>1958.6</v>
      </c>
      <c r="AF265">
        <v>732.5</v>
      </c>
      <c r="AG265">
        <v>150.69999999999999</v>
      </c>
      <c r="AH265">
        <v>446.1</v>
      </c>
    </row>
    <row r="266" spans="1:34" x14ac:dyDescent="0.35">
      <c r="A266" t="s">
        <v>30</v>
      </c>
      <c r="B266">
        <v>2020</v>
      </c>
      <c r="C266" t="s">
        <v>38</v>
      </c>
      <c r="D266" s="2">
        <v>147.69999999999999</v>
      </c>
      <c r="E266" s="2">
        <v>182.46666666666667</v>
      </c>
      <c r="F266" s="2">
        <v>148.15</v>
      </c>
      <c r="G266" s="2">
        <v>154.44999999999999</v>
      </c>
      <c r="H266" s="2">
        <v>137.64999999999998</v>
      </c>
      <c r="I266" s="2">
        <v>145.25</v>
      </c>
      <c r="J266" s="2">
        <v>155.80000000000001</v>
      </c>
      <c r="K266" s="2">
        <v>150.25</v>
      </c>
      <c r="L266" s="2">
        <v>116.5</v>
      </c>
      <c r="M266" s="2">
        <v>159.25</v>
      </c>
      <c r="N266" s="2">
        <v>140.64999999999998</v>
      </c>
      <c r="O266" s="2">
        <v>161.20000000000002</v>
      </c>
      <c r="P266" s="2">
        <v>151.19999999999999</v>
      </c>
      <c r="Q266" s="2">
        <v>178.43333333333334</v>
      </c>
      <c r="R266" s="2">
        <v>154.26666666666665</v>
      </c>
      <c r="S266" s="2">
        <v>149.19999999999999</v>
      </c>
      <c r="T266" s="2">
        <v>153.56666666666666</v>
      </c>
      <c r="U266" s="2" t="s">
        <v>32</v>
      </c>
      <c r="V266" s="2">
        <v>146.65</v>
      </c>
      <c r="W266" s="2">
        <v>151.63333333333333</v>
      </c>
      <c r="X266" s="2">
        <v>156.25</v>
      </c>
      <c r="Y266" s="2">
        <v>139.53333333333333</v>
      </c>
      <c r="Z266" s="2">
        <v>152.53333333333333</v>
      </c>
      <c r="AA266" s="2">
        <v>161.6</v>
      </c>
      <c r="AB266" s="2">
        <v>149.16666666666666</v>
      </c>
      <c r="AC266" s="2">
        <v>150.66666666666666</v>
      </c>
      <c r="AD266" s="2">
        <v>151.73333333333332</v>
      </c>
      <c r="AE266">
        <v>1950.5166666666669</v>
      </c>
      <c r="AF266">
        <v>758.16666666666663</v>
      </c>
      <c r="AG266" s="2">
        <v>156.25</v>
      </c>
      <c r="AH266">
        <v>298.2833333333333</v>
      </c>
    </row>
    <row r="267" spans="1:34" x14ac:dyDescent="0.35">
      <c r="A267" t="s">
        <v>33</v>
      </c>
      <c r="B267">
        <v>2020</v>
      </c>
      <c r="C267" t="s">
        <v>38</v>
      </c>
      <c r="D267" s="2">
        <v>152.25</v>
      </c>
      <c r="E267" s="2">
        <v>187.16666666666666</v>
      </c>
      <c r="F267" s="2">
        <v>153.25</v>
      </c>
      <c r="G267" s="2">
        <v>154.44999999999999</v>
      </c>
      <c r="H267" s="2">
        <v>132.25</v>
      </c>
      <c r="I267" s="2">
        <v>152.35000000000002</v>
      </c>
      <c r="J267" s="2">
        <v>175.6</v>
      </c>
      <c r="K267" s="2">
        <v>151.4</v>
      </c>
      <c r="L267" s="2">
        <v>118.75</v>
      </c>
      <c r="M267" s="2">
        <v>156.4</v>
      </c>
      <c r="N267" s="2">
        <v>134.55000000000001</v>
      </c>
      <c r="O267" s="2">
        <v>160.83333333333331</v>
      </c>
      <c r="P267" s="2">
        <v>155.25</v>
      </c>
      <c r="Q267" s="2">
        <v>182.23333333333332</v>
      </c>
      <c r="R267" s="2">
        <v>148.63333333333333</v>
      </c>
      <c r="S267" s="2">
        <v>135.66666666666666</v>
      </c>
      <c r="T267" s="2">
        <v>146.66666666666666</v>
      </c>
      <c r="U267" s="2">
        <v>155.14999999999998</v>
      </c>
      <c r="V267" s="2">
        <v>137.1</v>
      </c>
      <c r="W267" s="2">
        <v>140.53333333333333</v>
      </c>
      <c r="X267" s="2">
        <v>146.44999999999999</v>
      </c>
      <c r="Y267" s="2">
        <v>127.73333333333333</v>
      </c>
      <c r="Z267" s="2">
        <v>142.30000000000001</v>
      </c>
      <c r="AA267" s="2">
        <v>152.5</v>
      </c>
      <c r="AB267" s="2">
        <v>149.9</v>
      </c>
      <c r="AC267" s="2">
        <v>140.9</v>
      </c>
      <c r="AD267" s="2">
        <v>149.63333333333335</v>
      </c>
      <c r="AE267">
        <v>1984.5</v>
      </c>
      <c r="AF267">
        <v>711.19999999999993</v>
      </c>
      <c r="AG267" s="2">
        <v>146.44999999999999</v>
      </c>
      <c r="AH267">
        <v>432.7833333333333</v>
      </c>
    </row>
    <row r="268" spans="1:34" x14ac:dyDescent="0.35">
      <c r="A268" t="s">
        <v>34</v>
      </c>
      <c r="B268">
        <v>2020</v>
      </c>
      <c r="C268" t="s">
        <v>38</v>
      </c>
      <c r="D268" s="2">
        <v>149.14999999999998</v>
      </c>
      <c r="E268" s="2">
        <v>184.13333333333333</v>
      </c>
      <c r="F268" s="2">
        <v>150.10000000000002</v>
      </c>
      <c r="G268" s="2">
        <v>154.44999999999999</v>
      </c>
      <c r="H268" s="2">
        <v>135.69999999999999</v>
      </c>
      <c r="I268" s="2">
        <v>148.55000000000001</v>
      </c>
      <c r="J268" s="2">
        <v>162.55000000000001</v>
      </c>
      <c r="K268" s="2">
        <v>150.65</v>
      </c>
      <c r="L268" s="2">
        <v>117.25</v>
      </c>
      <c r="M268" s="2">
        <v>158.30000000000001</v>
      </c>
      <c r="N268" s="2">
        <v>138.10000000000002</v>
      </c>
      <c r="O268" s="2">
        <v>161.06666666666666</v>
      </c>
      <c r="P268" s="2">
        <v>152.69999999999999</v>
      </c>
      <c r="Q268" s="2">
        <v>179.4</v>
      </c>
      <c r="R268" s="2">
        <v>152.06666666666666</v>
      </c>
      <c r="S268" s="2">
        <v>143.56666666666666</v>
      </c>
      <c r="T268" s="2">
        <v>150.86666666666667</v>
      </c>
      <c r="U268" s="2">
        <v>155.14999999999998</v>
      </c>
      <c r="V268" s="2">
        <v>143</v>
      </c>
      <c r="W268" s="2">
        <v>146.4</v>
      </c>
      <c r="X268" s="2">
        <v>152.55000000000001</v>
      </c>
      <c r="Y268" s="2">
        <v>133.30000000000001</v>
      </c>
      <c r="Z268" s="2">
        <v>146.76666666666668</v>
      </c>
      <c r="AA268" s="2">
        <v>156.30000000000001</v>
      </c>
      <c r="AB268" s="2">
        <v>149.46666666666667</v>
      </c>
      <c r="AC268" s="2">
        <v>145.93333333333334</v>
      </c>
      <c r="AD268" s="2">
        <v>150.73333333333335</v>
      </c>
      <c r="AE268">
        <v>1962.7</v>
      </c>
      <c r="AF268">
        <v>736.09999999999991</v>
      </c>
      <c r="AG268" s="2">
        <v>152.55000000000001</v>
      </c>
      <c r="AH268">
        <v>444.54999999999995</v>
      </c>
    </row>
    <row r="269" spans="1:34" x14ac:dyDescent="0.35">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c r="AE269">
        <v>1951</v>
      </c>
      <c r="AF269">
        <v>762</v>
      </c>
      <c r="AG269">
        <v>158.19999999999999</v>
      </c>
      <c r="AH269">
        <v>296.60000000000002</v>
      </c>
    </row>
    <row r="270" spans="1:34" x14ac:dyDescent="0.35">
      <c r="A270" t="s">
        <v>33</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v>1994.9999999999998</v>
      </c>
      <c r="AF270">
        <v>714.7</v>
      </c>
      <c r="AG270">
        <v>148.1</v>
      </c>
      <c r="AH270">
        <v>432.19999999999993</v>
      </c>
    </row>
    <row r="271" spans="1:34" x14ac:dyDescent="0.35">
      <c r="A271" t="s">
        <v>34</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v>1966.8000000000002</v>
      </c>
      <c r="AF271">
        <v>739.69999999999993</v>
      </c>
      <c r="AG271">
        <v>154.4</v>
      </c>
      <c r="AH271">
        <v>443</v>
      </c>
    </row>
    <row r="272" spans="1:34" x14ac:dyDescent="0.35">
      <c r="A272" t="s">
        <v>30</v>
      </c>
      <c r="B272">
        <v>2020</v>
      </c>
      <c r="C272" t="s">
        <v>40</v>
      </c>
      <c r="D272">
        <v>148.19999999999999</v>
      </c>
      <c r="E272">
        <v>190.3</v>
      </c>
      <c r="F272">
        <v>149.4</v>
      </c>
      <c r="G272">
        <v>153.30000000000001</v>
      </c>
      <c r="H272">
        <v>138.19999999999999</v>
      </c>
      <c r="I272">
        <v>143.19999999999999</v>
      </c>
      <c r="J272">
        <v>148.9</v>
      </c>
      <c r="K272">
        <v>150.30000000000001</v>
      </c>
      <c r="L272">
        <v>113.2</v>
      </c>
      <c r="M272">
        <v>159.80000000000001</v>
      </c>
      <c r="N272">
        <v>142.1</v>
      </c>
      <c r="O272">
        <v>161.80000000000001</v>
      </c>
      <c r="P272">
        <v>152.30000000000001</v>
      </c>
      <c r="Q272">
        <v>182.4</v>
      </c>
      <c r="R272">
        <v>154.69999999999999</v>
      </c>
      <c r="S272">
        <v>150</v>
      </c>
      <c r="T272">
        <v>154.1</v>
      </c>
      <c r="U272" t="s">
        <v>32</v>
      </c>
      <c r="V272">
        <v>144.9</v>
      </c>
      <c r="W272">
        <v>151.69999999999999</v>
      </c>
      <c r="X272">
        <v>158.19999999999999</v>
      </c>
      <c r="Y272">
        <v>141.4</v>
      </c>
      <c r="Z272">
        <v>153.19999999999999</v>
      </c>
      <c r="AA272">
        <v>161.80000000000001</v>
      </c>
      <c r="AB272">
        <v>151.19999999999999</v>
      </c>
      <c r="AC272">
        <v>151.69999999999999</v>
      </c>
      <c r="AD272">
        <v>152.69999999999999</v>
      </c>
      <c r="AE272">
        <v>1951</v>
      </c>
      <c r="AF272">
        <v>762</v>
      </c>
      <c r="AG272">
        <v>158.19999999999999</v>
      </c>
      <c r="AH272">
        <v>296.60000000000002</v>
      </c>
    </row>
    <row r="273" spans="1:34" x14ac:dyDescent="0.35">
      <c r="A273" t="s">
        <v>33</v>
      </c>
      <c r="B273">
        <v>2020</v>
      </c>
      <c r="C273" t="s">
        <v>40</v>
      </c>
      <c r="D273">
        <v>152.69999999999999</v>
      </c>
      <c r="E273">
        <v>197</v>
      </c>
      <c r="F273">
        <v>154.6</v>
      </c>
      <c r="G273">
        <v>153.4</v>
      </c>
      <c r="H273">
        <v>132.9</v>
      </c>
      <c r="I273">
        <v>151.80000000000001</v>
      </c>
      <c r="J273">
        <v>171.2</v>
      </c>
      <c r="K273">
        <v>152</v>
      </c>
      <c r="L273">
        <v>116.3</v>
      </c>
      <c r="M273">
        <v>158.80000000000001</v>
      </c>
      <c r="N273">
        <v>135.6</v>
      </c>
      <c r="O273">
        <v>161.69999999999999</v>
      </c>
      <c r="P273">
        <v>157</v>
      </c>
      <c r="Q273">
        <v>186.7</v>
      </c>
      <c r="R273">
        <v>149.1</v>
      </c>
      <c r="S273">
        <v>136.6</v>
      </c>
      <c r="T273">
        <v>147.19999999999999</v>
      </c>
      <c r="U273">
        <v>154.69999999999999</v>
      </c>
      <c r="V273">
        <v>137.1</v>
      </c>
      <c r="W273">
        <v>140.4</v>
      </c>
      <c r="X273">
        <v>148.1</v>
      </c>
      <c r="Y273">
        <v>129.30000000000001</v>
      </c>
      <c r="Z273">
        <v>144.5</v>
      </c>
      <c r="AA273">
        <v>152.5</v>
      </c>
      <c r="AB273">
        <v>152.19999999999999</v>
      </c>
      <c r="AC273">
        <v>142</v>
      </c>
      <c r="AD273">
        <v>150.80000000000001</v>
      </c>
      <c r="AE273">
        <v>1994.9999999999998</v>
      </c>
      <c r="AF273">
        <v>714.7</v>
      </c>
      <c r="AG273">
        <v>148.1</v>
      </c>
      <c r="AH273">
        <v>432.19999999999993</v>
      </c>
    </row>
    <row r="274" spans="1:34" x14ac:dyDescent="0.35">
      <c r="A274" t="s">
        <v>34</v>
      </c>
      <c r="B274">
        <v>2020</v>
      </c>
      <c r="C274" t="s">
        <v>40</v>
      </c>
      <c r="D274">
        <v>149.6</v>
      </c>
      <c r="E274">
        <v>192.7</v>
      </c>
      <c r="F274">
        <v>151.4</v>
      </c>
      <c r="G274">
        <v>153.30000000000001</v>
      </c>
      <c r="H274">
        <v>136.30000000000001</v>
      </c>
      <c r="I274">
        <v>147.19999999999999</v>
      </c>
      <c r="J274">
        <v>156.5</v>
      </c>
      <c r="K274">
        <v>150.9</v>
      </c>
      <c r="L274">
        <v>114.2</v>
      </c>
      <c r="M274">
        <v>159.5</v>
      </c>
      <c r="N274">
        <v>139.4</v>
      </c>
      <c r="O274">
        <v>161.80000000000001</v>
      </c>
      <c r="P274">
        <v>154</v>
      </c>
      <c r="Q274">
        <v>183.5</v>
      </c>
      <c r="R274">
        <v>152.5</v>
      </c>
      <c r="S274">
        <v>144.4</v>
      </c>
      <c r="T274">
        <v>151.4</v>
      </c>
      <c r="U274">
        <v>154.69999999999999</v>
      </c>
      <c r="V274">
        <v>141.9</v>
      </c>
      <c r="W274">
        <v>146.4</v>
      </c>
      <c r="X274">
        <v>154.4</v>
      </c>
      <c r="Y274">
        <v>135</v>
      </c>
      <c r="Z274">
        <v>148.30000000000001</v>
      </c>
      <c r="AA274">
        <v>156.4</v>
      </c>
      <c r="AB274">
        <v>151.6</v>
      </c>
      <c r="AC274">
        <v>147</v>
      </c>
      <c r="AD274">
        <v>151.80000000000001</v>
      </c>
      <c r="AE274">
        <v>1966.8000000000002</v>
      </c>
      <c r="AF274">
        <v>739.69999999999993</v>
      </c>
      <c r="AG274">
        <v>154.4</v>
      </c>
      <c r="AH274">
        <v>443</v>
      </c>
    </row>
    <row r="275" spans="1:34" x14ac:dyDescent="0.35">
      <c r="A275" t="s">
        <v>30</v>
      </c>
      <c r="B275">
        <v>2020</v>
      </c>
      <c r="C275" t="s">
        <v>41</v>
      </c>
      <c r="D275">
        <v>147.6</v>
      </c>
      <c r="E275">
        <v>187.2</v>
      </c>
      <c r="F275">
        <v>148.4</v>
      </c>
      <c r="G275">
        <v>153.30000000000001</v>
      </c>
      <c r="H275">
        <v>139.80000000000001</v>
      </c>
      <c r="I275">
        <v>146.9</v>
      </c>
      <c r="J275">
        <v>171</v>
      </c>
      <c r="K275">
        <v>149.9</v>
      </c>
      <c r="L275">
        <v>114.2</v>
      </c>
      <c r="M275">
        <v>160</v>
      </c>
      <c r="N275">
        <v>143.5</v>
      </c>
      <c r="O275">
        <v>161.5</v>
      </c>
      <c r="P275">
        <v>155.30000000000001</v>
      </c>
      <c r="Q275">
        <v>180.9</v>
      </c>
      <c r="R275">
        <v>155.1</v>
      </c>
      <c r="S275">
        <v>149.30000000000001</v>
      </c>
      <c r="T275">
        <v>154.30000000000001</v>
      </c>
      <c r="U275" t="s">
        <v>32</v>
      </c>
      <c r="V275">
        <v>145.80000000000001</v>
      </c>
      <c r="W275">
        <v>151.9</v>
      </c>
      <c r="X275">
        <v>158.80000000000001</v>
      </c>
      <c r="Y275">
        <v>143.6</v>
      </c>
      <c r="Z275">
        <v>152.19999999999999</v>
      </c>
      <c r="AA275">
        <v>162.69999999999999</v>
      </c>
      <c r="AB275">
        <v>153.6</v>
      </c>
      <c r="AC275">
        <v>153</v>
      </c>
      <c r="AD275">
        <v>154.69999999999999</v>
      </c>
      <c r="AE275">
        <v>1978.6</v>
      </c>
      <c r="AF275">
        <v>765</v>
      </c>
      <c r="AG275">
        <v>158.80000000000001</v>
      </c>
      <c r="AH275">
        <v>297.70000000000005</v>
      </c>
    </row>
    <row r="276" spans="1:34" x14ac:dyDescent="0.35">
      <c r="A276" t="s">
        <v>33</v>
      </c>
      <c r="B276">
        <v>2020</v>
      </c>
      <c r="C276" t="s">
        <v>41</v>
      </c>
      <c r="D276">
        <v>151.6</v>
      </c>
      <c r="E276">
        <v>197.8</v>
      </c>
      <c r="F276">
        <v>154.5</v>
      </c>
      <c r="G276">
        <v>153.4</v>
      </c>
      <c r="H276">
        <v>133.4</v>
      </c>
      <c r="I276">
        <v>154.5</v>
      </c>
      <c r="J276">
        <v>191.9</v>
      </c>
      <c r="K276">
        <v>151.30000000000001</v>
      </c>
      <c r="L276">
        <v>116.8</v>
      </c>
      <c r="M276">
        <v>160</v>
      </c>
      <c r="N276">
        <v>136.5</v>
      </c>
      <c r="O276">
        <v>163.30000000000001</v>
      </c>
      <c r="P276">
        <v>159.9</v>
      </c>
      <c r="Q276">
        <v>187.2</v>
      </c>
      <c r="R276">
        <v>150</v>
      </c>
      <c r="S276">
        <v>135.19999999999999</v>
      </c>
      <c r="T276">
        <v>147.80000000000001</v>
      </c>
      <c r="U276">
        <v>155.5</v>
      </c>
      <c r="V276">
        <v>138.30000000000001</v>
      </c>
      <c r="W276">
        <v>144.5</v>
      </c>
      <c r="X276">
        <v>148.69999999999999</v>
      </c>
      <c r="Y276">
        <v>133.9</v>
      </c>
      <c r="Z276">
        <v>141.19999999999999</v>
      </c>
      <c r="AA276">
        <v>155.5</v>
      </c>
      <c r="AB276">
        <v>155.19999999999999</v>
      </c>
      <c r="AC276">
        <v>144.80000000000001</v>
      </c>
      <c r="AD276">
        <v>152.9</v>
      </c>
      <c r="AE276">
        <v>2024.8999999999999</v>
      </c>
      <c r="AF276">
        <v>722.4</v>
      </c>
      <c r="AG276">
        <v>148.69999999999999</v>
      </c>
      <c r="AH276">
        <v>438.3</v>
      </c>
    </row>
    <row r="277" spans="1:34" x14ac:dyDescent="0.35">
      <c r="A277" t="s">
        <v>34</v>
      </c>
      <c r="B277">
        <v>2020</v>
      </c>
      <c r="C277" t="s">
        <v>41</v>
      </c>
      <c r="D277">
        <v>148.9</v>
      </c>
      <c r="E277">
        <v>190.9</v>
      </c>
      <c r="F277">
        <v>150.80000000000001</v>
      </c>
      <c r="G277">
        <v>153.30000000000001</v>
      </c>
      <c r="H277">
        <v>137.4</v>
      </c>
      <c r="I277">
        <v>150.4</v>
      </c>
      <c r="J277">
        <v>178.1</v>
      </c>
      <c r="K277">
        <v>150.4</v>
      </c>
      <c r="L277">
        <v>115.1</v>
      </c>
      <c r="M277">
        <v>160</v>
      </c>
      <c r="N277">
        <v>140.6</v>
      </c>
      <c r="O277">
        <v>162.30000000000001</v>
      </c>
      <c r="P277">
        <v>157</v>
      </c>
      <c r="Q277">
        <v>182.6</v>
      </c>
      <c r="R277">
        <v>153.1</v>
      </c>
      <c r="S277">
        <v>143.4</v>
      </c>
      <c r="T277">
        <v>151.69999999999999</v>
      </c>
      <c r="U277">
        <v>155.5</v>
      </c>
      <c r="V277">
        <v>143</v>
      </c>
      <c r="W277">
        <v>148.4</v>
      </c>
      <c r="X277">
        <v>155</v>
      </c>
      <c r="Y277">
        <v>138.5</v>
      </c>
      <c r="Z277">
        <v>146</v>
      </c>
      <c r="AA277">
        <v>158.5</v>
      </c>
      <c r="AB277">
        <v>154.30000000000001</v>
      </c>
      <c r="AC277">
        <v>149</v>
      </c>
      <c r="AD277">
        <v>153.9</v>
      </c>
      <c r="AE277">
        <v>1995.1999999999998</v>
      </c>
      <c r="AF277">
        <v>745.2</v>
      </c>
      <c r="AG277">
        <v>155</v>
      </c>
      <c r="AH277">
        <v>446.9</v>
      </c>
    </row>
    <row r="278" spans="1:34" x14ac:dyDescent="0.35">
      <c r="A278" t="s">
        <v>30</v>
      </c>
      <c r="B278">
        <v>2020</v>
      </c>
      <c r="C278" t="s">
        <v>42</v>
      </c>
      <c r="D278">
        <v>146.9</v>
      </c>
      <c r="E278">
        <v>183.9</v>
      </c>
      <c r="F278">
        <v>149.5</v>
      </c>
      <c r="G278">
        <v>153.4</v>
      </c>
      <c r="H278">
        <v>140.4</v>
      </c>
      <c r="I278">
        <v>147</v>
      </c>
      <c r="J278">
        <v>178.8</v>
      </c>
      <c r="K278">
        <v>149.30000000000001</v>
      </c>
      <c r="L278">
        <v>115.1</v>
      </c>
      <c r="M278">
        <v>160</v>
      </c>
      <c r="N278">
        <v>145.4</v>
      </c>
      <c r="O278">
        <v>161.6</v>
      </c>
      <c r="P278">
        <v>156.1</v>
      </c>
      <c r="Q278">
        <v>182.9</v>
      </c>
      <c r="R278">
        <v>155.4</v>
      </c>
      <c r="S278">
        <v>149.9</v>
      </c>
      <c r="T278">
        <v>154.6</v>
      </c>
      <c r="U278" t="s">
        <v>32</v>
      </c>
      <c r="V278">
        <v>146.4</v>
      </c>
      <c r="W278">
        <v>151.6</v>
      </c>
      <c r="X278">
        <v>159.1</v>
      </c>
      <c r="Y278">
        <v>144.6</v>
      </c>
      <c r="Z278">
        <v>152.80000000000001</v>
      </c>
      <c r="AA278">
        <v>161.1</v>
      </c>
      <c r="AB278">
        <v>157.4</v>
      </c>
      <c r="AC278">
        <v>153.69999999999999</v>
      </c>
      <c r="AD278">
        <v>155.4</v>
      </c>
      <c r="AE278">
        <v>1987.3999999999999</v>
      </c>
      <c r="AF278">
        <v>765.6</v>
      </c>
      <c r="AG278">
        <v>159.1</v>
      </c>
      <c r="AH278">
        <v>298</v>
      </c>
    </row>
    <row r="279" spans="1:34" x14ac:dyDescent="0.35">
      <c r="A279" t="s">
        <v>33</v>
      </c>
      <c r="B279">
        <v>2020</v>
      </c>
      <c r="C279" t="s">
        <v>42</v>
      </c>
      <c r="D279">
        <v>151.5</v>
      </c>
      <c r="E279">
        <v>193.1</v>
      </c>
      <c r="F279">
        <v>157.30000000000001</v>
      </c>
      <c r="G279">
        <v>153.9</v>
      </c>
      <c r="H279">
        <v>134.4</v>
      </c>
      <c r="I279">
        <v>155.4</v>
      </c>
      <c r="J279">
        <v>202</v>
      </c>
      <c r="K279">
        <v>150.80000000000001</v>
      </c>
      <c r="L279">
        <v>118.9</v>
      </c>
      <c r="M279">
        <v>160.9</v>
      </c>
      <c r="N279">
        <v>137.69999999999999</v>
      </c>
      <c r="O279">
        <v>164.4</v>
      </c>
      <c r="P279">
        <v>161.30000000000001</v>
      </c>
      <c r="Q279">
        <v>188.7</v>
      </c>
      <c r="R279">
        <v>150.19999999999999</v>
      </c>
      <c r="S279">
        <v>136.30000000000001</v>
      </c>
      <c r="T279">
        <v>148.1</v>
      </c>
      <c r="U279">
        <v>156.30000000000001</v>
      </c>
      <c r="V279">
        <v>137.19999999999999</v>
      </c>
      <c r="W279">
        <v>145.4</v>
      </c>
      <c r="X279">
        <v>150</v>
      </c>
      <c r="Y279">
        <v>135.1</v>
      </c>
      <c r="Z279">
        <v>141.80000000000001</v>
      </c>
      <c r="AA279">
        <v>154.9</v>
      </c>
      <c r="AB279">
        <v>159.80000000000001</v>
      </c>
      <c r="AC279">
        <v>146</v>
      </c>
      <c r="AD279">
        <v>154</v>
      </c>
      <c r="AE279">
        <v>2041.6000000000001</v>
      </c>
      <c r="AF279">
        <v>724.6</v>
      </c>
      <c r="AG279">
        <v>150</v>
      </c>
      <c r="AH279">
        <v>438.9</v>
      </c>
    </row>
    <row r="280" spans="1:34" x14ac:dyDescent="0.35">
      <c r="A280" t="s">
        <v>34</v>
      </c>
      <c r="B280">
        <v>2020</v>
      </c>
      <c r="C280" t="s">
        <v>42</v>
      </c>
      <c r="D280">
        <v>148.4</v>
      </c>
      <c r="E280">
        <v>187.1</v>
      </c>
      <c r="F280">
        <v>152.5</v>
      </c>
      <c r="G280">
        <v>153.6</v>
      </c>
      <c r="H280">
        <v>138.19999999999999</v>
      </c>
      <c r="I280">
        <v>150.9</v>
      </c>
      <c r="J280">
        <v>186.7</v>
      </c>
      <c r="K280">
        <v>149.80000000000001</v>
      </c>
      <c r="L280">
        <v>116.4</v>
      </c>
      <c r="M280">
        <v>160.30000000000001</v>
      </c>
      <c r="N280">
        <v>142.19999999999999</v>
      </c>
      <c r="O280">
        <v>162.9</v>
      </c>
      <c r="P280">
        <v>158</v>
      </c>
      <c r="Q280">
        <v>184.4</v>
      </c>
      <c r="R280">
        <v>153.4</v>
      </c>
      <c r="S280">
        <v>144.30000000000001</v>
      </c>
      <c r="T280">
        <v>152</v>
      </c>
      <c r="U280">
        <v>156.30000000000001</v>
      </c>
      <c r="V280">
        <v>142.9</v>
      </c>
      <c r="W280">
        <v>148.69999999999999</v>
      </c>
      <c r="X280">
        <v>155.6</v>
      </c>
      <c r="Y280">
        <v>139.6</v>
      </c>
      <c r="Z280">
        <v>146.6</v>
      </c>
      <c r="AA280">
        <v>157.5</v>
      </c>
      <c r="AB280">
        <v>158.4</v>
      </c>
      <c r="AC280">
        <v>150</v>
      </c>
      <c r="AD280">
        <v>154.69999999999999</v>
      </c>
      <c r="AE280">
        <v>2007</v>
      </c>
      <c r="AF280">
        <v>746.80000000000007</v>
      </c>
      <c r="AG280">
        <v>155.6</v>
      </c>
      <c r="AH280">
        <v>447.90000000000003</v>
      </c>
    </row>
    <row r="281" spans="1:34" x14ac:dyDescent="0.35">
      <c r="A281" t="s">
        <v>30</v>
      </c>
      <c r="B281">
        <v>2020</v>
      </c>
      <c r="C281" t="s">
        <v>43</v>
      </c>
      <c r="D281">
        <v>146</v>
      </c>
      <c r="E281">
        <v>186.3</v>
      </c>
      <c r="F281">
        <v>159.19999999999999</v>
      </c>
      <c r="G281">
        <v>153.6</v>
      </c>
      <c r="H281">
        <v>142.6</v>
      </c>
      <c r="I281">
        <v>147.19999999999999</v>
      </c>
      <c r="J281">
        <v>200.6</v>
      </c>
      <c r="K281">
        <v>150.30000000000001</v>
      </c>
      <c r="L281">
        <v>115.3</v>
      </c>
      <c r="M281">
        <v>160.9</v>
      </c>
      <c r="N281">
        <v>147.4</v>
      </c>
      <c r="O281">
        <v>161.9</v>
      </c>
      <c r="P281">
        <v>159.6</v>
      </c>
      <c r="Q281">
        <v>182.7</v>
      </c>
      <c r="R281">
        <v>155.69999999999999</v>
      </c>
      <c r="S281">
        <v>150.6</v>
      </c>
      <c r="T281">
        <v>155</v>
      </c>
      <c r="U281" t="s">
        <v>32</v>
      </c>
      <c r="V281">
        <v>146.80000000000001</v>
      </c>
      <c r="W281">
        <v>152</v>
      </c>
      <c r="X281">
        <v>159.5</v>
      </c>
      <c r="Y281">
        <v>146.4</v>
      </c>
      <c r="Z281">
        <v>152.4</v>
      </c>
      <c r="AA281">
        <v>162.5</v>
      </c>
      <c r="AB281">
        <v>156.19999999999999</v>
      </c>
      <c r="AC281">
        <v>154.30000000000001</v>
      </c>
      <c r="AD281">
        <v>157.5</v>
      </c>
      <c r="AE281">
        <v>2030.9</v>
      </c>
      <c r="AF281">
        <v>770.19999999999993</v>
      </c>
      <c r="AG281">
        <v>159.5</v>
      </c>
      <c r="AH281">
        <v>298.8</v>
      </c>
    </row>
    <row r="282" spans="1:34" x14ac:dyDescent="0.35">
      <c r="A282" t="s">
        <v>33</v>
      </c>
      <c r="B282">
        <v>2020</v>
      </c>
      <c r="C282" t="s">
        <v>43</v>
      </c>
      <c r="D282">
        <v>150.6</v>
      </c>
      <c r="E282">
        <v>193.7</v>
      </c>
      <c r="F282">
        <v>164.8</v>
      </c>
      <c r="G282">
        <v>153.69999999999999</v>
      </c>
      <c r="H282">
        <v>135.69999999999999</v>
      </c>
      <c r="I282">
        <v>155.69999999999999</v>
      </c>
      <c r="J282">
        <v>226</v>
      </c>
      <c r="K282">
        <v>152.19999999999999</v>
      </c>
      <c r="L282">
        <v>118.1</v>
      </c>
      <c r="M282">
        <v>161.30000000000001</v>
      </c>
      <c r="N282">
        <v>139.19999999999999</v>
      </c>
      <c r="O282">
        <v>164.8</v>
      </c>
      <c r="P282">
        <v>164.4</v>
      </c>
      <c r="Q282">
        <v>188.7</v>
      </c>
      <c r="R282">
        <v>150.5</v>
      </c>
      <c r="S282">
        <v>136.1</v>
      </c>
      <c r="T282">
        <v>148.30000000000001</v>
      </c>
      <c r="U282">
        <v>156.5</v>
      </c>
      <c r="V282">
        <v>137.1</v>
      </c>
      <c r="W282">
        <v>145.1</v>
      </c>
      <c r="X282">
        <v>151</v>
      </c>
      <c r="Y282">
        <v>135.4</v>
      </c>
      <c r="Z282">
        <v>142</v>
      </c>
      <c r="AA282">
        <v>155.69999999999999</v>
      </c>
      <c r="AB282">
        <v>158.1</v>
      </c>
      <c r="AC282">
        <v>146.19999999999999</v>
      </c>
      <c r="AD282">
        <v>155.19999999999999</v>
      </c>
      <c r="AE282">
        <v>2080.1999999999998</v>
      </c>
      <c r="AF282">
        <v>726</v>
      </c>
      <c r="AG282">
        <v>151</v>
      </c>
      <c r="AH282">
        <v>438.70000000000005</v>
      </c>
    </row>
    <row r="283" spans="1:34" x14ac:dyDescent="0.35">
      <c r="A283" t="s">
        <v>34</v>
      </c>
      <c r="B283">
        <v>2020</v>
      </c>
      <c r="C283" t="s">
        <v>43</v>
      </c>
      <c r="D283">
        <v>147.5</v>
      </c>
      <c r="E283">
        <v>188.9</v>
      </c>
      <c r="F283">
        <v>161.4</v>
      </c>
      <c r="G283">
        <v>153.6</v>
      </c>
      <c r="H283">
        <v>140.1</v>
      </c>
      <c r="I283">
        <v>151.19999999999999</v>
      </c>
      <c r="J283">
        <v>209.2</v>
      </c>
      <c r="K283">
        <v>150.9</v>
      </c>
      <c r="L283">
        <v>116.2</v>
      </c>
      <c r="M283">
        <v>161</v>
      </c>
      <c r="N283">
        <v>144</v>
      </c>
      <c r="O283">
        <v>163.19999999999999</v>
      </c>
      <c r="P283">
        <v>161.4</v>
      </c>
      <c r="Q283">
        <v>184.3</v>
      </c>
      <c r="R283">
        <v>153.69999999999999</v>
      </c>
      <c r="S283">
        <v>144.6</v>
      </c>
      <c r="T283">
        <v>152.30000000000001</v>
      </c>
      <c r="U283">
        <v>156.5</v>
      </c>
      <c r="V283">
        <v>143.1</v>
      </c>
      <c r="W283">
        <v>148.69999999999999</v>
      </c>
      <c r="X283">
        <v>156.30000000000001</v>
      </c>
      <c r="Y283">
        <v>140.6</v>
      </c>
      <c r="Z283">
        <v>146.5</v>
      </c>
      <c r="AA283">
        <v>158.5</v>
      </c>
      <c r="AB283">
        <v>157</v>
      </c>
      <c r="AC283">
        <v>150.4</v>
      </c>
      <c r="AD283">
        <v>156.4</v>
      </c>
      <c r="AE283">
        <v>2048.6000000000004</v>
      </c>
      <c r="AF283">
        <v>749.69999999999993</v>
      </c>
      <c r="AG283">
        <v>156.30000000000001</v>
      </c>
      <c r="AH283">
        <v>448.3</v>
      </c>
    </row>
    <row r="284" spans="1:34" x14ac:dyDescent="0.35">
      <c r="A284" t="s">
        <v>30</v>
      </c>
      <c r="B284">
        <v>2020</v>
      </c>
      <c r="C284" t="s">
        <v>45</v>
      </c>
      <c r="D284">
        <v>145.4</v>
      </c>
      <c r="E284">
        <v>188.6</v>
      </c>
      <c r="F284">
        <v>171.6</v>
      </c>
      <c r="G284">
        <v>153.80000000000001</v>
      </c>
      <c r="H284">
        <v>145.4</v>
      </c>
      <c r="I284">
        <v>146.5</v>
      </c>
      <c r="J284">
        <v>222.2</v>
      </c>
      <c r="K284">
        <v>155.9</v>
      </c>
      <c r="L284">
        <v>114.9</v>
      </c>
      <c r="M284">
        <v>162</v>
      </c>
      <c r="N284">
        <v>150</v>
      </c>
      <c r="O284">
        <v>162.69999999999999</v>
      </c>
      <c r="P284">
        <v>163.4</v>
      </c>
      <c r="Q284">
        <v>183.4</v>
      </c>
      <c r="R284">
        <v>156.30000000000001</v>
      </c>
      <c r="S284">
        <v>151</v>
      </c>
      <c r="T284">
        <v>155.5</v>
      </c>
      <c r="U284" t="s">
        <v>32</v>
      </c>
      <c r="V284">
        <v>147.5</v>
      </c>
      <c r="W284">
        <v>152.80000000000001</v>
      </c>
      <c r="X284">
        <v>160.4</v>
      </c>
      <c r="Y284">
        <v>146.1</v>
      </c>
      <c r="Z284">
        <v>153.6</v>
      </c>
      <c r="AA284">
        <v>161.6</v>
      </c>
      <c r="AB284">
        <v>156.19999999999999</v>
      </c>
      <c r="AC284">
        <v>154.5</v>
      </c>
      <c r="AD284">
        <v>159.80000000000001</v>
      </c>
      <c r="AE284">
        <v>2082.4</v>
      </c>
      <c r="AF284">
        <v>770.5</v>
      </c>
      <c r="AG284">
        <v>160.4</v>
      </c>
      <c r="AH284">
        <v>300.3</v>
      </c>
    </row>
    <row r="285" spans="1:34" x14ac:dyDescent="0.35">
      <c r="A285" t="s">
        <v>33</v>
      </c>
      <c r="B285">
        <v>2020</v>
      </c>
      <c r="C285" t="s">
        <v>45</v>
      </c>
      <c r="D285">
        <v>149.69999999999999</v>
      </c>
      <c r="E285">
        <v>195.5</v>
      </c>
      <c r="F285">
        <v>176.9</v>
      </c>
      <c r="G285">
        <v>153.9</v>
      </c>
      <c r="H285">
        <v>138</v>
      </c>
      <c r="I285">
        <v>150.5</v>
      </c>
      <c r="J285">
        <v>245.3</v>
      </c>
      <c r="K285">
        <v>158.69999999999999</v>
      </c>
      <c r="L285">
        <v>117.2</v>
      </c>
      <c r="M285">
        <v>161.4</v>
      </c>
      <c r="N285">
        <v>141.5</v>
      </c>
      <c r="O285">
        <v>165.1</v>
      </c>
      <c r="P285">
        <v>167</v>
      </c>
      <c r="Q285">
        <v>188.8</v>
      </c>
      <c r="R285">
        <v>151.1</v>
      </c>
      <c r="S285">
        <v>136.4</v>
      </c>
      <c r="T285">
        <v>148.80000000000001</v>
      </c>
      <c r="U285">
        <v>158</v>
      </c>
      <c r="V285">
        <v>137.30000000000001</v>
      </c>
      <c r="W285">
        <v>145.1</v>
      </c>
      <c r="X285">
        <v>152</v>
      </c>
      <c r="Y285">
        <v>135.19999999999999</v>
      </c>
      <c r="Z285">
        <v>144.4</v>
      </c>
      <c r="AA285">
        <v>156.4</v>
      </c>
      <c r="AB285">
        <v>157.9</v>
      </c>
      <c r="AC285">
        <v>146.6</v>
      </c>
      <c r="AD285">
        <v>156.69999999999999</v>
      </c>
      <c r="AE285">
        <v>2120.6999999999998</v>
      </c>
      <c r="AF285">
        <v>727.9</v>
      </c>
      <c r="AG285">
        <v>152</v>
      </c>
      <c r="AH285">
        <v>440.4</v>
      </c>
    </row>
    <row r="286" spans="1:34" x14ac:dyDescent="0.35">
      <c r="A286" t="s">
        <v>34</v>
      </c>
      <c r="B286">
        <v>2020</v>
      </c>
      <c r="C286" t="s">
        <v>45</v>
      </c>
      <c r="D286">
        <v>146.80000000000001</v>
      </c>
      <c r="E286">
        <v>191</v>
      </c>
      <c r="F286">
        <v>173.6</v>
      </c>
      <c r="G286">
        <v>153.80000000000001</v>
      </c>
      <c r="H286">
        <v>142.69999999999999</v>
      </c>
      <c r="I286">
        <v>148.4</v>
      </c>
      <c r="J286">
        <v>230</v>
      </c>
      <c r="K286">
        <v>156.80000000000001</v>
      </c>
      <c r="L286">
        <v>115.7</v>
      </c>
      <c r="M286">
        <v>161.80000000000001</v>
      </c>
      <c r="N286">
        <v>146.5</v>
      </c>
      <c r="O286">
        <v>163.80000000000001</v>
      </c>
      <c r="P286">
        <v>164.7</v>
      </c>
      <c r="Q286">
        <v>184.8</v>
      </c>
      <c r="R286">
        <v>154.30000000000001</v>
      </c>
      <c r="S286">
        <v>144.9</v>
      </c>
      <c r="T286">
        <v>152.80000000000001</v>
      </c>
      <c r="U286">
        <v>158</v>
      </c>
      <c r="V286">
        <v>143.6</v>
      </c>
      <c r="W286">
        <v>149.19999999999999</v>
      </c>
      <c r="X286">
        <v>157.19999999999999</v>
      </c>
      <c r="Y286">
        <v>140.4</v>
      </c>
      <c r="Z286">
        <v>148.4</v>
      </c>
      <c r="AA286">
        <v>158.6</v>
      </c>
      <c r="AB286">
        <v>156.9</v>
      </c>
      <c r="AC286">
        <v>150.69999999999999</v>
      </c>
      <c r="AD286">
        <v>158.4</v>
      </c>
      <c r="AE286">
        <v>2095.6</v>
      </c>
      <c r="AF286">
        <v>751.00000000000011</v>
      </c>
      <c r="AG286">
        <v>157.19999999999999</v>
      </c>
      <c r="AH286">
        <v>450.8</v>
      </c>
    </row>
    <row r="287" spans="1:34" x14ac:dyDescent="0.35">
      <c r="A287" t="s">
        <v>30</v>
      </c>
      <c r="B287">
        <v>2020</v>
      </c>
      <c r="C287" t="s">
        <v>46</v>
      </c>
      <c r="D287">
        <v>144.6</v>
      </c>
      <c r="E287">
        <v>188.5</v>
      </c>
      <c r="F287">
        <v>173.4</v>
      </c>
      <c r="G287">
        <v>154</v>
      </c>
      <c r="H287">
        <v>150</v>
      </c>
      <c r="I287">
        <v>145.9</v>
      </c>
      <c r="J287">
        <v>225.2</v>
      </c>
      <c r="K287">
        <v>159.5</v>
      </c>
      <c r="L287">
        <v>114.4</v>
      </c>
      <c r="M287">
        <v>163.5</v>
      </c>
      <c r="N287">
        <v>153.4</v>
      </c>
      <c r="O287">
        <v>163.6</v>
      </c>
      <c r="P287">
        <v>164.5</v>
      </c>
      <c r="Q287">
        <v>183.6</v>
      </c>
      <c r="R287">
        <v>157</v>
      </c>
      <c r="S287">
        <v>151.6</v>
      </c>
      <c r="T287">
        <v>156.30000000000001</v>
      </c>
      <c r="U287" t="s">
        <v>32</v>
      </c>
      <c r="V287">
        <v>148.69999999999999</v>
      </c>
      <c r="W287">
        <v>153.4</v>
      </c>
      <c r="X287">
        <v>161.6</v>
      </c>
      <c r="Y287">
        <v>146.4</v>
      </c>
      <c r="Z287">
        <v>153.9</v>
      </c>
      <c r="AA287">
        <v>162.9</v>
      </c>
      <c r="AB287">
        <v>156.6</v>
      </c>
      <c r="AC287">
        <v>155.19999999999999</v>
      </c>
      <c r="AD287">
        <v>160.69999999999999</v>
      </c>
      <c r="AE287">
        <v>2100.5</v>
      </c>
      <c r="AF287">
        <v>774.2</v>
      </c>
      <c r="AG287">
        <v>161.6</v>
      </c>
      <c r="AH287">
        <v>302.10000000000002</v>
      </c>
    </row>
    <row r="288" spans="1:34" x14ac:dyDescent="0.35">
      <c r="A288" t="s">
        <v>33</v>
      </c>
      <c r="B288">
        <v>2020</v>
      </c>
      <c r="C288" t="s">
        <v>46</v>
      </c>
      <c r="D288">
        <v>149</v>
      </c>
      <c r="E288">
        <v>195.7</v>
      </c>
      <c r="F288">
        <v>178.3</v>
      </c>
      <c r="G288">
        <v>154.19999999999999</v>
      </c>
      <c r="H288">
        <v>140.69999999999999</v>
      </c>
      <c r="I288">
        <v>149.69999999999999</v>
      </c>
      <c r="J288">
        <v>240.9</v>
      </c>
      <c r="K288">
        <v>161.5</v>
      </c>
      <c r="L288">
        <v>117.1</v>
      </c>
      <c r="M288">
        <v>161.9</v>
      </c>
      <c r="N288">
        <v>143.30000000000001</v>
      </c>
      <c r="O288">
        <v>166.1</v>
      </c>
      <c r="P288">
        <v>167</v>
      </c>
      <c r="Q288">
        <v>190.2</v>
      </c>
      <c r="R288">
        <v>151.9</v>
      </c>
      <c r="S288">
        <v>136.69999999999999</v>
      </c>
      <c r="T288">
        <v>149.6</v>
      </c>
      <c r="U288">
        <v>158.4</v>
      </c>
      <c r="V288">
        <v>137.9</v>
      </c>
      <c r="W288">
        <v>145.5</v>
      </c>
      <c r="X288">
        <v>152.9</v>
      </c>
      <c r="Y288">
        <v>135.5</v>
      </c>
      <c r="Z288">
        <v>144.30000000000001</v>
      </c>
      <c r="AA288">
        <v>156.9</v>
      </c>
      <c r="AB288">
        <v>157.9</v>
      </c>
      <c r="AC288">
        <v>146.9</v>
      </c>
      <c r="AD288">
        <v>156.9</v>
      </c>
      <c r="AE288">
        <v>2125.4</v>
      </c>
      <c r="AF288">
        <v>730.6</v>
      </c>
      <c r="AG288">
        <v>152.9</v>
      </c>
      <c r="AH288">
        <v>441.8</v>
      </c>
    </row>
    <row r="289" spans="1:34" x14ac:dyDescent="0.35">
      <c r="A289" t="s">
        <v>34</v>
      </c>
      <c r="B289">
        <v>2020</v>
      </c>
      <c r="C289" t="s">
        <v>46</v>
      </c>
      <c r="D289">
        <v>146</v>
      </c>
      <c r="E289">
        <v>191</v>
      </c>
      <c r="F289">
        <v>175.3</v>
      </c>
      <c r="G289">
        <v>154.1</v>
      </c>
      <c r="H289">
        <v>146.6</v>
      </c>
      <c r="I289">
        <v>147.69999999999999</v>
      </c>
      <c r="J289">
        <v>230.5</v>
      </c>
      <c r="K289">
        <v>160.19999999999999</v>
      </c>
      <c r="L289">
        <v>115.3</v>
      </c>
      <c r="M289">
        <v>163</v>
      </c>
      <c r="N289">
        <v>149.19999999999999</v>
      </c>
      <c r="O289">
        <v>164.8</v>
      </c>
      <c r="P289">
        <v>165.4</v>
      </c>
      <c r="Q289">
        <v>185.4</v>
      </c>
      <c r="R289">
        <v>155</v>
      </c>
      <c r="S289">
        <v>145.4</v>
      </c>
      <c r="T289">
        <v>153.6</v>
      </c>
      <c r="U289">
        <v>158.4</v>
      </c>
      <c r="V289">
        <v>144.6</v>
      </c>
      <c r="W289">
        <v>149.69999999999999</v>
      </c>
      <c r="X289">
        <v>158.30000000000001</v>
      </c>
      <c r="Y289">
        <v>140.69999999999999</v>
      </c>
      <c r="Z289">
        <v>148.5</v>
      </c>
      <c r="AA289">
        <v>159.4</v>
      </c>
      <c r="AB289">
        <v>157.1</v>
      </c>
      <c r="AC289">
        <v>151.19999999999999</v>
      </c>
      <c r="AD289">
        <v>158.9</v>
      </c>
      <c r="AE289">
        <v>2109.1</v>
      </c>
      <c r="AF289">
        <v>754.1</v>
      </c>
      <c r="AG289">
        <v>158.30000000000001</v>
      </c>
      <c r="AH289">
        <v>452.7</v>
      </c>
    </row>
    <row r="290" spans="1:34" x14ac:dyDescent="0.35">
      <c r="A290" t="s">
        <v>30</v>
      </c>
      <c r="B290">
        <v>2021</v>
      </c>
      <c r="C290" t="s">
        <v>31</v>
      </c>
      <c r="D290">
        <v>143.4</v>
      </c>
      <c r="E290">
        <v>187.5</v>
      </c>
      <c r="F290">
        <v>173.4</v>
      </c>
      <c r="G290">
        <v>154</v>
      </c>
      <c r="H290">
        <v>154.80000000000001</v>
      </c>
      <c r="I290">
        <v>147</v>
      </c>
      <c r="J290">
        <v>187.8</v>
      </c>
      <c r="K290">
        <v>159.5</v>
      </c>
      <c r="L290">
        <v>113.8</v>
      </c>
      <c r="M290">
        <v>164.5</v>
      </c>
      <c r="N290">
        <v>156.1</v>
      </c>
      <c r="O290">
        <v>164.3</v>
      </c>
      <c r="P290">
        <v>159.6</v>
      </c>
      <c r="Q290">
        <v>184.6</v>
      </c>
      <c r="R290">
        <v>157.5</v>
      </c>
      <c r="S290">
        <v>152.4</v>
      </c>
      <c r="T290">
        <v>156.80000000000001</v>
      </c>
      <c r="U290" t="s">
        <v>32</v>
      </c>
      <c r="V290">
        <v>150.9</v>
      </c>
      <c r="W290">
        <v>153.9</v>
      </c>
      <c r="X290">
        <v>162.5</v>
      </c>
      <c r="Y290">
        <v>147.5</v>
      </c>
      <c r="Z290">
        <v>155.1</v>
      </c>
      <c r="AA290">
        <v>163.5</v>
      </c>
      <c r="AB290">
        <v>156.19999999999999</v>
      </c>
      <c r="AC290">
        <v>155.9</v>
      </c>
      <c r="AD290">
        <v>158.5</v>
      </c>
      <c r="AE290">
        <v>2065.6999999999998</v>
      </c>
      <c r="AF290">
        <v>777.7</v>
      </c>
      <c r="AG290">
        <v>162.5</v>
      </c>
      <c r="AH290">
        <v>304.8</v>
      </c>
    </row>
    <row r="291" spans="1:34" x14ac:dyDescent="0.35">
      <c r="A291" t="s">
        <v>33</v>
      </c>
      <c r="B291">
        <v>2021</v>
      </c>
      <c r="C291" t="s">
        <v>31</v>
      </c>
      <c r="D291">
        <v>148</v>
      </c>
      <c r="E291">
        <v>194.8</v>
      </c>
      <c r="F291">
        <v>178.4</v>
      </c>
      <c r="G291">
        <v>154.4</v>
      </c>
      <c r="H291">
        <v>144.1</v>
      </c>
      <c r="I291">
        <v>152.6</v>
      </c>
      <c r="J291">
        <v>206.8</v>
      </c>
      <c r="K291">
        <v>162.1</v>
      </c>
      <c r="L291">
        <v>116.3</v>
      </c>
      <c r="M291">
        <v>163</v>
      </c>
      <c r="N291">
        <v>145.9</v>
      </c>
      <c r="O291">
        <v>167.2</v>
      </c>
      <c r="P291">
        <v>163.4</v>
      </c>
      <c r="Q291">
        <v>191.8</v>
      </c>
      <c r="R291">
        <v>152.5</v>
      </c>
      <c r="S291">
        <v>137.30000000000001</v>
      </c>
      <c r="T291">
        <v>150.19999999999999</v>
      </c>
      <c r="U291">
        <v>157.69999999999999</v>
      </c>
      <c r="V291">
        <v>142.9</v>
      </c>
      <c r="W291">
        <v>145.69999999999999</v>
      </c>
      <c r="X291">
        <v>154.1</v>
      </c>
      <c r="Y291">
        <v>136.9</v>
      </c>
      <c r="Z291">
        <v>145.4</v>
      </c>
      <c r="AA291">
        <v>156.1</v>
      </c>
      <c r="AB291">
        <v>157.69999999999999</v>
      </c>
      <c r="AC291">
        <v>147.6</v>
      </c>
      <c r="AD291">
        <v>156</v>
      </c>
      <c r="AE291">
        <v>2097</v>
      </c>
      <c r="AF291">
        <v>733</v>
      </c>
      <c r="AG291">
        <v>154.1</v>
      </c>
      <c r="AH291">
        <v>446.3</v>
      </c>
    </row>
    <row r="292" spans="1:34" x14ac:dyDescent="0.35">
      <c r="A292" t="s">
        <v>34</v>
      </c>
      <c r="B292">
        <v>2021</v>
      </c>
      <c r="C292" t="s">
        <v>31</v>
      </c>
      <c r="D292">
        <v>144.9</v>
      </c>
      <c r="E292">
        <v>190.1</v>
      </c>
      <c r="F292">
        <v>175.3</v>
      </c>
      <c r="G292">
        <v>154.1</v>
      </c>
      <c r="H292">
        <v>150.9</v>
      </c>
      <c r="I292">
        <v>149.6</v>
      </c>
      <c r="J292">
        <v>194.2</v>
      </c>
      <c r="K292">
        <v>160.4</v>
      </c>
      <c r="L292">
        <v>114.6</v>
      </c>
      <c r="M292">
        <v>164</v>
      </c>
      <c r="N292">
        <v>151.80000000000001</v>
      </c>
      <c r="O292">
        <v>165.6</v>
      </c>
      <c r="P292">
        <v>161</v>
      </c>
      <c r="Q292">
        <v>186.5</v>
      </c>
      <c r="R292">
        <v>155.5</v>
      </c>
      <c r="S292">
        <v>146.1</v>
      </c>
      <c r="T292">
        <v>154.19999999999999</v>
      </c>
      <c r="U292">
        <v>157.69999999999999</v>
      </c>
      <c r="V292">
        <v>147.9</v>
      </c>
      <c r="W292">
        <v>150</v>
      </c>
      <c r="X292">
        <v>159.30000000000001</v>
      </c>
      <c r="Y292">
        <v>141.9</v>
      </c>
      <c r="Z292">
        <v>149.6</v>
      </c>
      <c r="AA292">
        <v>159.19999999999999</v>
      </c>
      <c r="AB292">
        <v>156.80000000000001</v>
      </c>
      <c r="AC292">
        <v>151.9</v>
      </c>
      <c r="AD292">
        <v>157.30000000000001</v>
      </c>
      <c r="AE292">
        <v>2076.5</v>
      </c>
      <c r="AF292">
        <v>756.90000000000009</v>
      </c>
      <c r="AG292">
        <v>159.30000000000001</v>
      </c>
      <c r="AH292">
        <v>455.6</v>
      </c>
    </row>
    <row r="293" spans="1:34" x14ac:dyDescent="0.35">
      <c r="A293" t="s">
        <v>30</v>
      </c>
      <c r="B293">
        <v>2021</v>
      </c>
      <c r="C293" t="s">
        <v>35</v>
      </c>
      <c r="D293">
        <v>142.80000000000001</v>
      </c>
      <c r="E293">
        <v>184</v>
      </c>
      <c r="F293">
        <v>168</v>
      </c>
      <c r="G293">
        <v>154.4</v>
      </c>
      <c r="H293">
        <v>163</v>
      </c>
      <c r="I293">
        <v>147.80000000000001</v>
      </c>
      <c r="J293">
        <v>149.69999999999999</v>
      </c>
      <c r="K293">
        <v>158.30000000000001</v>
      </c>
      <c r="L293">
        <v>111.8</v>
      </c>
      <c r="M293">
        <v>165</v>
      </c>
      <c r="N293">
        <v>160</v>
      </c>
      <c r="O293">
        <v>165.8</v>
      </c>
      <c r="P293">
        <v>154.69999999999999</v>
      </c>
      <c r="Q293">
        <v>186.5</v>
      </c>
      <c r="R293">
        <v>159.1</v>
      </c>
      <c r="S293">
        <v>153.9</v>
      </c>
      <c r="T293">
        <v>158.4</v>
      </c>
      <c r="U293" t="s">
        <v>32</v>
      </c>
      <c r="V293">
        <v>154.4</v>
      </c>
      <c r="W293">
        <v>154.80000000000001</v>
      </c>
      <c r="X293">
        <v>164.3</v>
      </c>
      <c r="Y293">
        <v>150.19999999999999</v>
      </c>
      <c r="Z293">
        <v>157</v>
      </c>
      <c r="AA293">
        <v>163.6</v>
      </c>
      <c r="AB293">
        <v>155.19999999999999</v>
      </c>
      <c r="AC293">
        <v>157.19999999999999</v>
      </c>
      <c r="AD293">
        <v>156.69999999999999</v>
      </c>
      <c r="AE293">
        <v>2025.3</v>
      </c>
      <c r="AF293">
        <v>785.19999999999993</v>
      </c>
      <c r="AG293">
        <v>164.3</v>
      </c>
      <c r="AH293">
        <v>309.20000000000005</v>
      </c>
    </row>
    <row r="294" spans="1:34" x14ac:dyDescent="0.35">
      <c r="A294" t="s">
        <v>33</v>
      </c>
      <c r="B294">
        <v>2021</v>
      </c>
      <c r="C294" t="s">
        <v>35</v>
      </c>
      <c r="D294">
        <v>147.6</v>
      </c>
      <c r="E294">
        <v>191.2</v>
      </c>
      <c r="F294">
        <v>169.9</v>
      </c>
      <c r="G294">
        <v>155.1</v>
      </c>
      <c r="H294">
        <v>151.4</v>
      </c>
      <c r="I294">
        <v>154</v>
      </c>
      <c r="J294">
        <v>180.2</v>
      </c>
      <c r="K294">
        <v>159.80000000000001</v>
      </c>
      <c r="L294">
        <v>114.9</v>
      </c>
      <c r="M294">
        <v>162.5</v>
      </c>
      <c r="N294">
        <v>149.19999999999999</v>
      </c>
      <c r="O294">
        <v>169.4</v>
      </c>
      <c r="P294">
        <v>160.80000000000001</v>
      </c>
      <c r="Q294">
        <v>193.3</v>
      </c>
      <c r="R294">
        <v>154.19999999999999</v>
      </c>
      <c r="S294">
        <v>138.19999999999999</v>
      </c>
      <c r="T294">
        <v>151.80000000000001</v>
      </c>
      <c r="U294">
        <v>159.80000000000001</v>
      </c>
      <c r="V294">
        <v>149.1</v>
      </c>
      <c r="W294">
        <v>146.5</v>
      </c>
      <c r="X294">
        <v>156.30000000000001</v>
      </c>
      <c r="Y294">
        <v>140.5</v>
      </c>
      <c r="Z294">
        <v>147.30000000000001</v>
      </c>
      <c r="AA294">
        <v>156.6</v>
      </c>
      <c r="AB294">
        <v>156.69999999999999</v>
      </c>
      <c r="AC294">
        <v>149.30000000000001</v>
      </c>
      <c r="AD294">
        <v>156.5</v>
      </c>
      <c r="AE294">
        <v>2066</v>
      </c>
      <c r="AF294">
        <v>741.30000000000007</v>
      </c>
      <c r="AG294">
        <v>156.30000000000001</v>
      </c>
      <c r="AH294">
        <v>455.4</v>
      </c>
    </row>
    <row r="295" spans="1:34" x14ac:dyDescent="0.35">
      <c r="A295" t="s">
        <v>34</v>
      </c>
      <c r="B295">
        <v>2021</v>
      </c>
      <c r="C295" t="s">
        <v>35</v>
      </c>
      <c r="D295">
        <v>144.30000000000001</v>
      </c>
      <c r="E295">
        <v>186.5</v>
      </c>
      <c r="F295">
        <v>168.7</v>
      </c>
      <c r="G295">
        <v>154.69999999999999</v>
      </c>
      <c r="H295">
        <v>158.69999999999999</v>
      </c>
      <c r="I295">
        <v>150.69999999999999</v>
      </c>
      <c r="J295">
        <v>160</v>
      </c>
      <c r="K295">
        <v>158.80000000000001</v>
      </c>
      <c r="L295">
        <v>112.8</v>
      </c>
      <c r="M295">
        <v>164.2</v>
      </c>
      <c r="N295">
        <v>155.5</v>
      </c>
      <c r="O295">
        <v>167.5</v>
      </c>
      <c r="P295">
        <v>156.9</v>
      </c>
      <c r="Q295">
        <v>188.3</v>
      </c>
      <c r="R295">
        <v>157.19999999999999</v>
      </c>
      <c r="S295">
        <v>147.4</v>
      </c>
      <c r="T295">
        <v>155.80000000000001</v>
      </c>
      <c r="U295">
        <v>159.80000000000001</v>
      </c>
      <c r="V295">
        <v>152.4</v>
      </c>
      <c r="W295">
        <v>150.9</v>
      </c>
      <c r="X295">
        <v>161.30000000000001</v>
      </c>
      <c r="Y295">
        <v>145.1</v>
      </c>
      <c r="Z295">
        <v>151.5</v>
      </c>
      <c r="AA295">
        <v>159.5</v>
      </c>
      <c r="AB295">
        <v>155.80000000000001</v>
      </c>
      <c r="AC295">
        <v>153.4</v>
      </c>
      <c r="AD295">
        <v>156.6</v>
      </c>
      <c r="AE295">
        <v>2039.3000000000002</v>
      </c>
      <c r="AF295">
        <v>765</v>
      </c>
      <c r="AG295">
        <v>161.30000000000001</v>
      </c>
      <c r="AH295">
        <v>463.1</v>
      </c>
    </row>
    <row r="296" spans="1:34" x14ac:dyDescent="0.35">
      <c r="A296" t="s">
        <v>30</v>
      </c>
      <c r="B296">
        <v>2021</v>
      </c>
      <c r="C296" t="s">
        <v>36</v>
      </c>
      <c r="D296">
        <v>142.5</v>
      </c>
      <c r="E296">
        <v>189.4</v>
      </c>
      <c r="F296">
        <v>163.19999999999999</v>
      </c>
      <c r="G296">
        <v>154.5</v>
      </c>
      <c r="H296">
        <v>168.2</v>
      </c>
      <c r="I296">
        <v>150.5</v>
      </c>
      <c r="J296">
        <v>141</v>
      </c>
      <c r="K296">
        <v>159.19999999999999</v>
      </c>
      <c r="L296">
        <v>111.7</v>
      </c>
      <c r="M296">
        <v>164</v>
      </c>
      <c r="N296">
        <v>160.6</v>
      </c>
      <c r="O296">
        <v>166.4</v>
      </c>
      <c r="P296">
        <v>154.5</v>
      </c>
      <c r="Q296">
        <v>186.1</v>
      </c>
      <c r="R296">
        <v>159.6</v>
      </c>
      <c r="S296">
        <v>154.4</v>
      </c>
      <c r="T296">
        <v>158.9</v>
      </c>
      <c r="U296" t="s">
        <v>48</v>
      </c>
      <c r="V296">
        <v>156</v>
      </c>
      <c r="W296">
        <v>154.80000000000001</v>
      </c>
      <c r="X296">
        <v>164.6</v>
      </c>
      <c r="Y296">
        <v>151.30000000000001</v>
      </c>
      <c r="Z296">
        <v>157.80000000000001</v>
      </c>
      <c r="AA296">
        <v>163.80000000000001</v>
      </c>
      <c r="AB296">
        <v>153.1</v>
      </c>
      <c r="AC296">
        <v>157.30000000000001</v>
      </c>
      <c r="AD296">
        <v>156.69999999999999</v>
      </c>
      <c r="AE296">
        <v>2025.7</v>
      </c>
      <c r="AF296">
        <v>788</v>
      </c>
      <c r="AG296">
        <v>164.6</v>
      </c>
      <c r="AH296">
        <v>310.8</v>
      </c>
    </row>
    <row r="297" spans="1:34" x14ac:dyDescent="0.35">
      <c r="A297" t="s">
        <v>33</v>
      </c>
      <c r="B297">
        <v>2021</v>
      </c>
      <c r="C297" t="s">
        <v>36</v>
      </c>
      <c r="D297">
        <v>147.5</v>
      </c>
      <c r="E297">
        <v>197.5</v>
      </c>
      <c r="F297">
        <v>164.7</v>
      </c>
      <c r="G297">
        <v>155.6</v>
      </c>
      <c r="H297">
        <v>156.4</v>
      </c>
      <c r="I297">
        <v>157.30000000000001</v>
      </c>
      <c r="J297">
        <v>166.1</v>
      </c>
      <c r="K297">
        <v>161.1</v>
      </c>
      <c r="L297">
        <v>114.3</v>
      </c>
      <c r="M297">
        <v>162.6</v>
      </c>
      <c r="N297">
        <v>150.69999999999999</v>
      </c>
      <c r="O297">
        <v>170.3</v>
      </c>
      <c r="P297">
        <v>160.4</v>
      </c>
      <c r="Q297">
        <v>193.5</v>
      </c>
      <c r="R297">
        <v>155.1</v>
      </c>
      <c r="S297">
        <v>138.69999999999999</v>
      </c>
      <c r="T297">
        <v>152.6</v>
      </c>
      <c r="U297">
        <v>159.9</v>
      </c>
      <c r="V297">
        <v>154.80000000000001</v>
      </c>
      <c r="W297">
        <v>147.19999999999999</v>
      </c>
      <c r="X297">
        <v>156.9</v>
      </c>
      <c r="Y297">
        <v>141.69999999999999</v>
      </c>
      <c r="Z297">
        <v>148.6</v>
      </c>
      <c r="AA297">
        <v>157.6</v>
      </c>
      <c r="AB297">
        <v>154.9</v>
      </c>
      <c r="AC297">
        <v>150</v>
      </c>
      <c r="AD297">
        <v>156.9</v>
      </c>
      <c r="AE297">
        <v>2064.4999999999995</v>
      </c>
      <c r="AF297">
        <v>745.69999999999993</v>
      </c>
      <c r="AG297">
        <v>156.9</v>
      </c>
      <c r="AH297">
        <v>461.90000000000003</v>
      </c>
    </row>
    <row r="298" spans="1:34" x14ac:dyDescent="0.35">
      <c r="A298" t="s">
        <v>34</v>
      </c>
      <c r="B298">
        <v>2021</v>
      </c>
      <c r="C298" t="s">
        <v>36</v>
      </c>
      <c r="D298">
        <v>144.1</v>
      </c>
      <c r="E298">
        <v>192.2</v>
      </c>
      <c r="F298">
        <v>163.80000000000001</v>
      </c>
      <c r="G298">
        <v>154.9</v>
      </c>
      <c r="H298">
        <v>163.9</v>
      </c>
      <c r="I298">
        <v>153.69999999999999</v>
      </c>
      <c r="J298">
        <v>149.5</v>
      </c>
      <c r="K298">
        <v>159.80000000000001</v>
      </c>
      <c r="L298">
        <v>112.6</v>
      </c>
      <c r="M298">
        <v>163.5</v>
      </c>
      <c r="N298">
        <v>156.5</v>
      </c>
      <c r="O298">
        <v>168.2</v>
      </c>
      <c r="P298">
        <v>156.69999999999999</v>
      </c>
      <c r="Q298">
        <v>188.1</v>
      </c>
      <c r="R298">
        <v>157.80000000000001</v>
      </c>
      <c r="S298">
        <v>147.9</v>
      </c>
      <c r="T298">
        <v>156.4</v>
      </c>
      <c r="U298">
        <v>159.9</v>
      </c>
      <c r="V298">
        <v>155.5</v>
      </c>
      <c r="W298">
        <v>151.19999999999999</v>
      </c>
      <c r="X298">
        <v>161.69999999999999</v>
      </c>
      <c r="Y298">
        <v>146.19999999999999</v>
      </c>
      <c r="Z298">
        <v>152.6</v>
      </c>
      <c r="AA298">
        <v>160.19999999999999</v>
      </c>
      <c r="AB298">
        <v>153.80000000000001</v>
      </c>
      <c r="AC298">
        <v>153.80000000000001</v>
      </c>
      <c r="AD298">
        <v>156.80000000000001</v>
      </c>
      <c r="AE298">
        <v>2039.3999999999999</v>
      </c>
      <c r="AF298">
        <v>768.5</v>
      </c>
      <c r="AG298">
        <v>161.69999999999999</v>
      </c>
      <c r="AH298">
        <v>466.59999999999997</v>
      </c>
    </row>
    <row r="299" spans="1:34" x14ac:dyDescent="0.35">
      <c r="A299" t="s">
        <v>30</v>
      </c>
      <c r="B299">
        <v>2021</v>
      </c>
      <c r="C299" t="s">
        <v>37</v>
      </c>
      <c r="D299">
        <v>142.69999999999999</v>
      </c>
      <c r="E299">
        <v>195.5</v>
      </c>
      <c r="F299">
        <v>163.4</v>
      </c>
      <c r="G299">
        <v>155</v>
      </c>
      <c r="H299">
        <v>175.2</v>
      </c>
      <c r="I299">
        <v>160.6</v>
      </c>
      <c r="J299">
        <v>135.1</v>
      </c>
      <c r="K299">
        <v>161.1</v>
      </c>
      <c r="L299">
        <v>112.2</v>
      </c>
      <c r="M299">
        <v>164.4</v>
      </c>
      <c r="N299">
        <v>161.9</v>
      </c>
      <c r="O299">
        <v>166.8</v>
      </c>
      <c r="P299">
        <v>155.6</v>
      </c>
      <c r="Q299">
        <v>186.8</v>
      </c>
      <c r="R299">
        <v>160.69999999999999</v>
      </c>
      <c r="S299">
        <v>155.1</v>
      </c>
      <c r="T299">
        <v>159.9</v>
      </c>
      <c r="U299" t="s">
        <v>48</v>
      </c>
      <c r="V299">
        <v>156</v>
      </c>
      <c r="W299">
        <v>155.5</v>
      </c>
      <c r="X299">
        <v>165.3</v>
      </c>
      <c r="Y299">
        <v>151.69999999999999</v>
      </c>
      <c r="Z299">
        <v>158.6</v>
      </c>
      <c r="AA299">
        <v>164.1</v>
      </c>
      <c r="AB299">
        <v>154.6</v>
      </c>
      <c r="AC299">
        <v>158</v>
      </c>
      <c r="AD299">
        <v>157.6</v>
      </c>
      <c r="AE299">
        <v>2049.5</v>
      </c>
      <c r="AF299">
        <v>791.49999999999989</v>
      </c>
      <c r="AG299">
        <v>165.3</v>
      </c>
      <c r="AH299">
        <v>311.5</v>
      </c>
    </row>
    <row r="300" spans="1:34" x14ac:dyDescent="0.35">
      <c r="A300" t="s">
        <v>33</v>
      </c>
      <c r="B300">
        <v>2021</v>
      </c>
      <c r="C300" t="s">
        <v>37</v>
      </c>
      <c r="D300">
        <v>147.6</v>
      </c>
      <c r="E300">
        <v>202.5</v>
      </c>
      <c r="F300">
        <v>166.4</v>
      </c>
      <c r="G300">
        <v>156</v>
      </c>
      <c r="H300">
        <v>161.4</v>
      </c>
      <c r="I300">
        <v>168.8</v>
      </c>
      <c r="J300">
        <v>161.6</v>
      </c>
      <c r="K300">
        <v>162.80000000000001</v>
      </c>
      <c r="L300">
        <v>114.8</v>
      </c>
      <c r="M300">
        <v>162.80000000000001</v>
      </c>
      <c r="N300">
        <v>151.5</v>
      </c>
      <c r="O300">
        <v>171.4</v>
      </c>
      <c r="P300">
        <v>162</v>
      </c>
      <c r="Q300">
        <v>194.4</v>
      </c>
      <c r="R300">
        <v>155.9</v>
      </c>
      <c r="S300">
        <v>139.30000000000001</v>
      </c>
      <c r="T300">
        <v>153.4</v>
      </c>
      <c r="U300">
        <v>161.4</v>
      </c>
      <c r="V300">
        <v>154.9</v>
      </c>
      <c r="W300">
        <v>147.6</v>
      </c>
      <c r="X300">
        <v>157.5</v>
      </c>
      <c r="Y300">
        <v>142.1</v>
      </c>
      <c r="Z300">
        <v>149.1</v>
      </c>
      <c r="AA300">
        <v>157.6</v>
      </c>
      <c r="AB300">
        <v>156.6</v>
      </c>
      <c r="AC300">
        <v>150.5</v>
      </c>
      <c r="AD300">
        <v>158</v>
      </c>
      <c r="AE300">
        <v>2089.6</v>
      </c>
      <c r="AF300">
        <v>748.30000000000007</v>
      </c>
      <c r="AG300">
        <v>157.5</v>
      </c>
      <c r="AH300">
        <v>463.9</v>
      </c>
    </row>
    <row r="301" spans="1:34" x14ac:dyDescent="0.35">
      <c r="A301" t="s">
        <v>34</v>
      </c>
      <c r="B301">
        <v>2021</v>
      </c>
      <c r="C301" t="s">
        <v>37</v>
      </c>
      <c r="D301">
        <v>144.30000000000001</v>
      </c>
      <c r="E301">
        <v>198</v>
      </c>
      <c r="F301">
        <v>164.6</v>
      </c>
      <c r="G301">
        <v>155.4</v>
      </c>
      <c r="H301">
        <v>170.1</v>
      </c>
      <c r="I301">
        <v>164.4</v>
      </c>
      <c r="J301">
        <v>144.1</v>
      </c>
      <c r="K301">
        <v>161.69999999999999</v>
      </c>
      <c r="L301">
        <v>113.1</v>
      </c>
      <c r="M301">
        <v>163.9</v>
      </c>
      <c r="N301">
        <v>157.6</v>
      </c>
      <c r="O301">
        <v>168.9</v>
      </c>
      <c r="P301">
        <v>158</v>
      </c>
      <c r="Q301">
        <v>188.8</v>
      </c>
      <c r="R301">
        <v>158.80000000000001</v>
      </c>
      <c r="S301">
        <v>148.5</v>
      </c>
      <c r="T301">
        <v>157.30000000000001</v>
      </c>
      <c r="U301">
        <v>161.4</v>
      </c>
      <c r="V301">
        <v>155.6</v>
      </c>
      <c r="W301">
        <v>151.80000000000001</v>
      </c>
      <c r="X301">
        <v>162.30000000000001</v>
      </c>
      <c r="Y301">
        <v>146.6</v>
      </c>
      <c r="Z301">
        <v>153.19999999999999</v>
      </c>
      <c r="AA301">
        <v>160.30000000000001</v>
      </c>
      <c r="AB301">
        <v>155.4</v>
      </c>
      <c r="AC301">
        <v>154.4</v>
      </c>
      <c r="AD301">
        <v>157.80000000000001</v>
      </c>
      <c r="AE301">
        <v>2064.1</v>
      </c>
      <c r="AF301">
        <v>771.5</v>
      </c>
      <c r="AG301">
        <v>162.30000000000001</v>
      </c>
      <c r="AH301">
        <v>468.8</v>
      </c>
    </row>
    <row r="302" spans="1:34" x14ac:dyDescent="0.35">
      <c r="A302" t="s">
        <v>30</v>
      </c>
      <c r="B302">
        <v>2021</v>
      </c>
      <c r="C302" t="s">
        <v>38</v>
      </c>
      <c r="D302">
        <v>145.1</v>
      </c>
      <c r="E302">
        <v>198.5</v>
      </c>
      <c r="F302">
        <v>168.6</v>
      </c>
      <c r="G302">
        <v>155.80000000000001</v>
      </c>
      <c r="H302">
        <v>184.4</v>
      </c>
      <c r="I302">
        <v>162.30000000000001</v>
      </c>
      <c r="J302">
        <v>138.4</v>
      </c>
      <c r="K302">
        <v>165.1</v>
      </c>
      <c r="L302">
        <v>114.3</v>
      </c>
      <c r="M302">
        <v>169.7</v>
      </c>
      <c r="N302">
        <v>164.6</v>
      </c>
      <c r="O302">
        <v>169.8</v>
      </c>
      <c r="P302">
        <v>158.69999999999999</v>
      </c>
      <c r="Q302">
        <v>189.6</v>
      </c>
      <c r="R302">
        <v>165.3</v>
      </c>
      <c r="S302">
        <v>160.6</v>
      </c>
      <c r="T302">
        <v>164.5</v>
      </c>
      <c r="U302" t="s">
        <v>32</v>
      </c>
      <c r="V302">
        <v>161.69999999999999</v>
      </c>
      <c r="W302">
        <v>158.80000000000001</v>
      </c>
      <c r="X302">
        <v>169.1</v>
      </c>
      <c r="Y302">
        <v>153.19999999999999</v>
      </c>
      <c r="Z302">
        <v>160</v>
      </c>
      <c r="AA302">
        <v>167.6</v>
      </c>
      <c r="AB302">
        <v>159.30000000000001</v>
      </c>
      <c r="AC302">
        <v>161.1</v>
      </c>
      <c r="AD302">
        <v>161.1</v>
      </c>
      <c r="AE302">
        <v>2095.2999999999997</v>
      </c>
      <c r="AF302">
        <v>811.19999999999993</v>
      </c>
      <c r="AG302">
        <v>169.1</v>
      </c>
      <c r="AH302">
        <v>320.5</v>
      </c>
    </row>
    <row r="303" spans="1:34" x14ac:dyDescent="0.35">
      <c r="A303" t="s">
        <v>33</v>
      </c>
      <c r="B303">
        <v>2021</v>
      </c>
      <c r="C303" t="s">
        <v>38</v>
      </c>
      <c r="D303">
        <v>148.80000000000001</v>
      </c>
      <c r="E303">
        <v>204.3</v>
      </c>
      <c r="F303">
        <v>173</v>
      </c>
      <c r="G303">
        <v>156.5</v>
      </c>
      <c r="H303">
        <v>168.8</v>
      </c>
      <c r="I303">
        <v>172.5</v>
      </c>
      <c r="J303">
        <v>166.5</v>
      </c>
      <c r="K303">
        <v>165.9</v>
      </c>
      <c r="L303">
        <v>115.9</v>
      </c>
      <c r="M303">
        <v>165.2</v>
      </c>
      <c r="N303">
        <v>152</v>
      </c>
      <c r="O303">
        <v>171.1</v>
      </c>
      <c r="P303">
        <v>164.2</v>
      </c>
      <c r="Q303">
        <v>198.2</v>
      </c>
      <c r="R303">
        <v>156.5</v>
      </c>
      <c r="S303">
        <v>140.19999999999999</v>
      </c>
      <c r="T303">
        <v>154.1</v>
      </c>
      <c r="U303">
        <v>161.6</v>
      </c>
      <c r="V303">
        <v>155.5</v>
      </c>
      <c r="W303">
        <v>150.1</v>
      </c>
      <c r="X303">
        <v>160.4</v>
      </c>
      <c r="Y303">
        <v>145</v>
      </c>
      <c r="Z303">
        <v>152.6</v>
      </c>
      <c r="AA303">
        <v>156.6</v>
      </c>
      <c r="AB303">
        <v>157.5</v>
      </c>
      <c r="AC303">
        <v>152.30000000000001</v>
      </c>
      <c r="AD303">
        <v>159.5</v>
      </c>
      <c r="AE303">
        <v>2124.7000000000003</v>
      </c>
      <c r="AF303">
        <v>752.4</v>
      </c>
      <c r="AG303">
        <v>160.4</v>
      </c>
      <c r="AH303">
        <v>467.20000000000005</v>
      </c>
    </row>
    <row r="304" spans="1:34" x14ac:dyDescent="0.35">
      <c r="A304" t="s">
        <v>34</v>
      </c>
      <c r="B304">
        <v>2021</v>
      </c>
      <c r="C304" t="s">
        <v>38</v>
      </c>
      <c r="D304">
        <v>146.30000000000001</v>
      </c>
      <c r="E304">
        <v>200.5</v>
      </c>
      <c r="F304">
        <v>170.3</v>
      </c>
      <c r="G304">
        <v>156.1</v>
      </c>
      <c r="H304">
        <v>178.7</v>
      </c>
      <c r="I304">
        <v>167.1</v>
      </c>
      <c r="J304">
        <v>147.9</v>
      </c>
      <c r="K304">
        <v>165.4</v>
      </c>
      <c r="L304">
        <v>114.8</v>
      </c>
      <c r="M304">
        <v>168.2</v>
      </c>
      <c r="N304">
        <v>159.30000000000001</v>
      </c>
      <c r="O304">
        <v>170.4</v>
      </c>
      <c r="P304">
        <v>160.69999999999999</v>
      </c>
      <c r="Q304">
        <v>191.9</v>
      </c>
      <c r="R304">
        <v>161.80000000000001</v>
      </c>
      <c r="S304">
        <v>152.1</v>
      </c>
      <c r="T304">
        <v>160.4</v>
      </c>
      <c r="U304">
        <v>161.6</v>
      </c>
      <c r="V304">
        <v>159.4</v>
      </c>
      <c r="W304">
        <v>154.69999999999999</v>
      </c>
      <c r="X304">
        <v>165.8</v>
      </c>
      <c r="Y304">
        <v>148.9</v>
      </c>
      <c r="Z304">
        <v>155.80000000000001</v>
      </c>
      <c r="AA304">
        <v>161.19999999999999</v>
      </c>
      <c r="AB304">
        <v>158.6</v>
      </c>
      <c r="AC304">
        <v>156.80000000000001</v>
      </c>
      <c r="AD304">
        <v>160.4</v>
      </c>
      <c r="AE304">
        <v>2105.7000000000003</v>
      </c>
      <c r="AF304">
        <v>784.39999999999986</v>
      </c>
      <c r="AG304">
        <v>165.8</v>
      </c>
      <c r="AH304">
        <v>475.7</v>
      </c>
    </row>
    <row r="305" spans="1:34" x14ac:dyDescent="0.35">
      <c r="A305" t="s">
        <v>30</v>
      </c>
      <c r="B305">
        <v>2021</v>
      </c>
      <c r="C305" t="s">
        <v>39</v>
      </c>
      <c r="D305">
        <v>145.6</v>
      </c>
      <c r="E305">
        <v>200.1</v>
      </c>
      <c r="F305">
        <v>179.3</v>
      </c>
      <c r="G305">
        <v>156.1</v>
      </c>
      <c r="H305">
        <v>190.4</v>
      </c>
      <c r="I305">
        <v>158.6</v>
      </c>
      <c r="J305">
        <v>144.69999999999999</v>
      </c>
      <c r="K305">
        <v>165.5</v>
      </c>
      <c r="L305">
        <v>114.6</v>
      </c>
      <c r="M305">
        <v>170</v>
      </c>
      <c r="N305">
        <v>165.5</v>
      </c>
      <c r="O305">
        <v>171.7</v>
      </c>
      <c r="P305">
        <v>160.5</v>
      </c>
      <c r="Q305">
        <v>189.1</v>
      </c>
      <c r="R305">
        <v>165.3</v>
      </c>
      <c r="S305">
        <v>159.9</v>
      </c>
      <c r="T305">
        <v>164.6</v>
      </c>
      <c r="U305" t="s">
        <v>32</v>
      </c>
      <c r="V305">
        <v>162.1</v>
      </c>
      <c r="W305">
        <v>159.19999999999999</v>
      </c>
      <c r="X305">
        <v>169.7</v>
      </c>
      <c r="Y305">
        <v>154.19999999999999</v>
      </c>
      <c r="Z305">
        <v>160.4</v>
      </c>
      <c r="AA305">
        <v>166.8</v>
      </c>
      <c r="AB305">
        <v>159.4</v>
      </c>
      <c r="AC305">
        <v>161.5</v>
      </c>
      <c r="AD305">
        <v>162.1</v>
      </c>
      <c r="AE305">
        <v>2122.6</v>
      </c>
      <c r="AF305">
        <v>810.8</v>
      </c>
      <c r="AG305">
        <v>169.7</v>
      </c>
      <c r="AH305">
        <v>321.29999999999995</v>
      </c>
    </row>
    <row r="306" spans="1:34" x14ac:dyDescent="0.35">
      <c r="A306" t="s">
        <v>33</v>
      </c>
      <c r="B306">
        <v>2021</v>
      </c>
      <c r="C306" t="s">
        <v>39</v>
      </c>
      <c r="D306">
        <v>149.19999999999999</v>
      </c>
      <c r="E306">
        <v>205.5</v>
      </c>
      <c r="F306">
        <v>182.8</v>
      </c>
      <c r="G306">
        <v>156.5</v>
      </c>
      <c r="H306">
        <v>172.2</v>
      </c>
      <c r="I306">
        <v>171.5</v>
      </c>
      <c r="J306">
        <v>176.2</v>
      </c>
      <c r="K306">
        <v>166.9</v>
      </c>
      <c r="L306">
        <v>116.1</v>
      </c>
      <c r="M306">
        <v>165.5</v>
      </c>
      <c r="N306">
        <v>152.30000000000001</v>
      </c>
      <c r="O306">
        <v>173.3</v>
      </c>
      <c r="P306">
        <v>166.2</v>
      </c>
      <c r="Q306">
        <v>195.6</v>
      </c>
      <c r="R306">
        <v>157.30000000000001</v>
      </c>
      <c r="S306">
        <v>140.5</v>
      </c>
      <c r="T306">
        <v>154.80000000000001</v>
      </c>
      <c r="U306">
        <v>160.5</v>
      </c>
      <c r="V306">
        <v>156.1</v>
      </c>
      <c r="W306">
        <v>149.80000000000001</v>
      </c>
      <c r="X306">
        <v>160.80000000000001</v>
      </c>
      <c r="Y306">
        <v>147.5</v>
      </c>
      <c r="Z306">
        <v>150.69999999999999</v>
      </c>
      <c r="AA306">
        <v>158.1</v>
      </c>
      <c r="AB306">
        <v>158</v>
      </c>
      <c r="AC306">
        <v>153.4</v>
      </c>
      <c r="AD306">
        <v>160.4</v>
      </c>
      <c r="AE306">
        <v>2154.1999999999998</v>
      </c>
      <c r="AF306">
        <v>758.2</v>
      </c>
      <c r="AG306">
        <v>160.80000000000001</v>
      </c>
      <c r="AH306">
        <v>466.40000000000003</v>
      </c>
    </row>
    <row r="307" spans="1:34" x14ac:dyDescent="0.35">
      <c r="A307" t="s">
        <v>34</v>
      </c>
      <c r="B307">
        <v>2021</v>
      </c>
      <c r="C307" t="s">
        <v>39</v>
      </c>
      <c r="D307">
        <v>146.69999999999999</v>
      </c>
      <c r="E307">
        <v>202</v>
      </c>
      <c r="F307">
        <v>180.7</v>
      </c>
      <c r="G307">
        <v>156.19999999999999</v>
      </c>
      <c r="H307">
        <v>183.7</v>
      </c>
      <c r="I307">
        <v>164.6</v>
      </c>
      <c r="J307">
        <v>155.4</v>
      </c>
      <c r="K307">
        <v>166</v>
      </c>
      <c r="L307">
        <v>115.1</v>
      </c>
      <c r="M307">
        <v>168.5</v>
      </c>
      <c r="N307">
        <v>160</v>
      </c>
      <c r="O307">
        <v>172.4</v>
      </c>
      <c r="P307">
        <v>162.6</v>
      </c>
      <c r="Q307">
        <v>190.8</v>
      </c>
      <c r="R307">
        <v>162.19999999999999</v>
      </c>
      <c r="S307">
        <v>151.80000000000001</v>
      </c>
      <c r="T307">
        <v>160.69999999999999</v>
      </c>
      <c r="U307">
        <v>160.5</v>
      </c>
      <c r="V307">
        <v>159.80000000000001</v>
      </c>
      <c r="W307">
        <v>154.80000000000001</v>
      </c>
      <c r="X307">
        <v>166.3</v>
      </c>
      <c r="Y307">
        <v>150.69999999999999</v>
      </c>
      <c r="Z307">
        <v>154.9</v>
      </c>
      <c r="AA307">
        <v>161.69999999999999</v>
      </c>
      <c r="AB307">
        <v>158.80000000000001</v>
      </c>
      <c r="AC307">
        <v>157.6</v>
      </c>
      <c r="AD307">
        <v>161.30000000000001</v>
      </c>
      <c r="AE307">
        <v>2133.9</v>
      </c>
      <c r="AF307">
        <v>787.09999999999991</v>
      </c>
      <c r="AG307">
        <v>166.3</v>
      </c>
      <c r="AH307">
        <v>475.1</v>
      </c>
    </row>
    <row r="308" spans="1:34" x14ac:dyDescent="0.35">
      <c r="A308" t="s">
        <v>30</v>
      </c>
      <c r="B308">
        <v>2021</v>
      </c>
      <c r="C308" t="s">
        <v>40</v>
      </c>
      <c r="D308">
        <v>145.1</v>
      </c>
      <c r="E308">
        <v>204.5</v>
      </c>
      <c r="F308">
        <v>180.4</v>
      </c>
      <c r="G308">
        <v>157.1</v>
      </c>
      <c r="H308">
        <v>188.7</v>
      </c>
      <c r="I308">
        <v>157.69999999999999</v>
      </c>
      <c r="J308">
        <v>152.80000000000001</v>
      </c>
      <c r="K308">
        <v>163.6</v>
      </c>
      <c r="L308">
        <v>113.9</v>
      </c>
      <c r="M308">
        <v>169.7</v>
      </c>
      <c r="N308">
        <v>166.2</v>
      </c>
      <c r="O308">
        <v>171</v>
      </c>
      <c r="P308">
        <v>161.69999999999999</v>
      </c>
      <c r="Q308">
        <v>189.7</v>
      </c>
      <c r="R308">
        <v>166</v>
      </c>
      <c r="S308">
        <v>161.1</v>
      </c>
      <c r="T308">
        <v>165.3</v>
      </c>
      <c r="U308" t="s">
        <v>32</v>
      </c>
      <c r="V308">
        <v>162.5</v>
      </c>
      <c r="W308">
        <v>160.30000000000001</v>
      </c>
      <c r="X308">
        <v>170.4</v>
      </c>
      <c r="Y308">
        <v>157.1</v>
      </c>
      <c r="Z308">
        <v>160.69999999999999</v>
      </c>
      <c r="AA308">
        <v>167.2</v>
      </c>
      <c r="AB308">
        <v>160.4</v>
      </c>
      <c r="AC308">
        <v>162.80000000000001</v>
      </c>
      <c r="AD308">
        <v>163.19999999999999</v>
      </c>
      <c r="AE308">
        <v>2132.4</v>
      </c>
      <c r="AF308">
        <v>816.7</v>
      </c>
      <c r="AG308">
        <v>170.4</v>
      </c>
      <c r="AH308">
        <v>322.8</v>
      </c>
    </row>
    <row r="309" spans="1:34" x14ac:dyDescent="0.35">
      <c r="A309" t="s">
        <v>33</v>
      </c>
      <c r="B309">
        <v>2021</v>
      </c>
      <c r="C309" t="s">
        <v>40</v>
      </c>
      <c r="D309">
        <v>149.1</v>
      </c>
      <c r="E309">
        <v>210.9</v>
      </c>
      <c r="F309">
        <v>185</v>
      </c>
      <c r="G309">
        <v>158.19999999999999</v>
      </c>
      <c r="H309">
        <v>170.6</v>
      </c>
      <c r="I309">
        <v>170.9</v>
      </c>
      <c r="J309">
        <v>186.4</v>
      </c>
      <c r="K309">
        <v>164.7</v>
      </c>
      <c r="L309">
        <v>115.7</v>
      </c>
      <c r="M309">
        <v>165.5</v>
      </c>
      <c r="N309">
        <v>153.4</v>
      </c>
      <c r="O309">
        <v>173.5</v>
      </c>
      <c r="P309">
        <v>167.9</v>
      </c>
      <c r="Q309">
        <v>195.5</v>
      </c>
      <c r="R309">
        <v>157.9</v>
      </c>
      <c r="S309">
        <v>141.9</v>
      </c>
      <c r="T309">
        <v>155.5</v>
      </c>
      <c r="U309">
        <v>161.5</v>
      </c>
      <c r="V309">
        <v>157.69999999999999</v>
      </c>
      <c r="W309">
        <v>150.69999999999999</v>
      </c>
      <c r="X309">
        <v>161.5</v>
      </c>
      <c r="Y309">
        <v>149.5</v>
      </c>
      <c r="Z309">
        <v>151.19999999999999</v>
      </c>
      <c r="AA309">
        <v>160.30000000000001</v>
      </c>
      <c r="AB309">
        <v>159.6</v>
      </c>
      <c r="AC309">
        <v>155</v>
      </c>
      <c r="AD309">
        <v>161.80000000000001</v>
      </c>
      <c r="AE309">
        <v>2171.8000000000002</v>
      </c>
      <c r="AF309">
        <v>765.09999999999991</v>
      </c>
      <c r="AG309">
        <v>161.5</v>
      </c>
      <c r="AH309">
        <v>469.9</v>
      </c>
    </row>
    <row r="310" spans="1:34" x14ac:dyDescent="0.35">
      <c r="A310" t="s">
        <v>34</v>
      </c>
      <c r="B310">
        <v>2021</v>
      </c>
      <c r="C310" t="s">
        <v>40</v>
      </c>
      <c r="D310">
        <v>146.4</v>
      </c>
      <c r="E310">
        <v>206.8</v>
      </c>
      <c r="F310">
        <v>182.2</v>
      </c>
      <c r="G310">
        <v>157.5</v>
      </c>
      <c r="H310">
        <v>182.1</v>
      </c>
      <c r="I310">
        <v>163.9</v>
      </c>
      <c r="J310">
        <v>164.2</v>
      </c>
      <c r="K310">
        <v>164</v>
      </c>
      <c r="L310">
        <v>114.5</v>
      </c>
      <c r="M310">
        <v>168.3</v>
      </c>
      <c r="N310">
        <v>160.9</v>
      </c>
      <c r="O310">
        <v>172.2</v>
      </c>
      <c r="P310">
        <v>164</v>
      </c>
      <c r="Q310">
        <v>191.2</v>
      </c>
      <c r="R310">
        <v>162.80000000000001</v>
      </c>
      <c r="S310">
        <v>153.1</v>
      </c>
      <c r="T310">
        <v>161.4</v>
      </c>
      <c r="U310">
        <v>161.5</v>
      </c>
      <c r="V310">
        <v>160.69999999999999</v>
      </c>
      <c r="W310">
        <v>155.80000000000001</v>
      </c>
      <c r="X310">
        <v>167</v>
      </c>
      <c r="Y310">
        <v>153.1</v>
      </c>
      <c r="Z310">
        <v>155.30000000000001</v>
      </c>
      <c r="AA310">
        <v>163.19999999999999</v>
      </c>
      <c r="AB310">
        <v>160.1</v>
      </c>
      <c r="AC310">
        <v>159</v>
      </c>
      <c r="AD310">
        <v>162.5</v>
      </c>
      <c r="AE310">
        <v>2147</v>
      </c>
      <c r="AF310">
        <v>793.59999999999991</v>
      </c>
      <c r="AG310">
        <v>167</v>
      </c>
      <c r="AH310">
        <v>478</v>
      </c>
    </row>
    <row r="311" spans="1:34" x14ac:dyDescent="0.35">
      <c r="A311" t="s">
        <v>30</v>
      </c>
      <c r="B311">
        <v>2021</v>
      </c>
      <c r="C311" t="s">
        <v>41</v>
      </c>
      <c r="D311">
        <v>144.9</v>
      </c>
      <c r="E311">
        <v>202.3</v>
      </c>
      <c r="F311">
        <v>176.5</v>
      </c>
      <c r="G311">
        <v>157.5</v>
      </c>
      <c r="H311">
        <v>190.9</v>
      </c>
      <c r="I311">
        <v>155.69999999999999</v>
      </c>
      <c r="J311">
        <v>153.9</v>
      </c>
      <c r="K311">
        <v>162.80000000000001</v>
      </c>
      <c r="L311">
        <v>115.2</v>
      </c>
      <c r="M311">
        <v>169.8</v>
      </c>
      <c r="N311">
        <v>167.6</v>
      </c>
      <c r="O311">
        <v>171.9</v>
      </c>
      <c r="P311">
        <v>161.80000000000001</v>
      </c>
      <c r="Q311">
        <v>190.2</v>
      </c>
      <c r="R311">
        <v>167</v>
      </c>
      <c r="S311">
        <v>162.6</v>
      </c>
      <c r="T311">
        <v>166.3</v>
      </c>
      <c r="U311" t="s">
        <v>32</v>
      </c>
      <c r="V311">
        <v>163.1</v>
      </c>
      <c r="W311">
        <v>160.9</v>
      </c>
      <c r="X311">
        <v>171.1</v>
      </c>
      <c r="Y311">
        <v>157.69999999999999</v>
      </c>
      <c r="Z311">
        <v>161.1</v>
      </c>
      <c r="AA311">
        <v>167.5</v>
      </c>
      <c r="AB311">
        <v>160.30000000000001</v>
      </c>
      <c r="AC311">
        <v>163.30000000000001</v>
      </c>
      <c r="AD311">
        <v>163.6</v>
      </c>
      <c r="AE311">
        <v>2130.8000000000002</v>
      </c>
      <c r="AF311">
        <v>821.1</v>
      </c>
      <c r="AG311">
        <v>171.1</v>
      </c>
      <c r="AH311">
        <v>324</v>
      </c>
    </row>
    <row r="312" spans="1:34" x14ac:dyDescent="0.35">
      <c r="A312" t="s">
        <v>33</v>
      </c>
      <c r="B312">
        <v>2021</v>
      </c>
      <c r="C312" t="s">
        <v>41</v>
      </c>
      <c r="D312">
        <v>149.30000000000001</v>
      </c>
      <c r="E312">
        <v>207.4</v>
      </c>
      <c r="F312">
        <v>174.1</v>
      </c>
      <c r="G312">
        <v>159.19999999999999</v>
      </c>
      <c r="H312">
        <v>175</v>
      </c>
      <c r="I312">
        <v>161.30000000000001</v>
      </c>
      <c r="J312">
        <v>183.3</v>
      </c>
      <c r="K312">
        <v>164.5</v>
      </c>
      <c r="L312">
        <v>120.4</v>
      </c>
      <c r="M312">
        <v>166.2</v>
      </c>
      <c r="N312">
        <v>154.80000000000001</v>
      </c>
      <c r="O312">
        <v>175.1</v>
      </c>
      <c r="P312">
        <v>167.3</v>
      </c>
      <c r="Q312">
        <v>196.5</v>
      </c>
      <c r="R312">
        <v>159.80000000000001</v>
      </c>
      <c r="S312">
        <v>143.6</v>
      </c>
      <c r="T312">
        <v>157.30000000000001</v>
      </c>
      <c r="U312">
        <v>162.1</v>
      </c>
      <c r="V312">
        <v>160.69999999999999</v>
      </c>
      <c r="W312">
        <v>153.19999999999999</v>
      </c>
      <c r="X312">
        <v>162.80000000000001</v>
      </c>
      <c r="Y312">
        <v>150.4</v>
      </c>
      <c r="Z312">
        <v>153.69999999999999</v>
      </c>
      <c r="AA312">
        <v>160.4</v>
      </c>
      <c r="AB312">
        <v>159.6</v>
      </c>
      <c r="AC312">
        <v>156</v>
      </c>
      <c r="AD312">
        <v>162.30000000000001</v>
      </c>
      <c r="AE312">
        <v>2157.9</v>
      </c>
      <c r="AF312">
        <v>771.5</v>
      </c>
      <c r="AG312">
        <v>162.80000000000001</v>
      </c>
      <c r="AH312">
        <v>475.99999999999994</v>
      </c>
    </row>
    <row r="313" spans="1:34" x14ac:dyDescent="0.35">
      <c r="A313" t="s">
        <v>34</v>
      </c>
      <c r="B313">
        <v>2021</v>
      </c>
      <c r="C313" t="s">
        <v>41</v>
      </c>
      <c r="D313">
        <v>146.6</v>
      </c>
      <c r="E313">
        <v>204</v>
      </c>
      <c r="F313">
        <v>172.8</v>
      </c>
      <c r="G313">
        <v>158.4</v>
      </c>
      <c r="H313">
        <v>188</v>
      </c>
      <c r="I313">
        <v>156.80000000000001</v>
      </c>
      <c r="J313">
        <v>162.19999999999999</v>
      </c>
      <c r="K313">
        <v>164.1</v>
      </c>
      <c r="L313">
        <v>119.7</v>
      </c>
      <c r="M313">
        <v>168.8</v>
      </c>
      <c r="N313">
        <v>162.69999999999999</v>
      </c>
      <c r="O313">
        <v>173.9</v>
      </c>
      <c r="P313">
        <v>164</v>
      </c>
      <c r="Q313">
        <v>192.1</v>
      </c>
      <c r="R313">
        <v>164.5</v>
      </c>
      <c r="S313">
        <v>155.30000000000001</v>
      </c>
      <c r="T313">
        <v>163.19999999999999</v>
      </c>
      <c r="U313">
        <v>162.1</v>
      </c>
      <c r="V313">
        <v>162.6</v>
      </c>
      <c r="W313">
        <v>157.5</v>
      </c>
      <c r="X313">
        <v>168.4</v>
      </c>
      <c r="Y313">
        <v>154</v>
      </c>
      <c r="Z313">
        <v>157.6</v>
      </c>
      <c r="AA313">
        <v>163.80000000000001</v>
      </c>
      <c r="AB313">
        <v>160</v>
      </c>
      <c r="AC313">
        <v>160</v>
      </c>
      <c r="AD313">
        <v>163.19999999999999</v>
      </c>
      <c r="AE313">
        <v>2142</v>
      </c>
      <c r="AF313">
        <v>800.8</v>
      </c>
      <c r="AG313">
        <v>168.4</v>
      </c>
      <c r="AH313">
        <v>482.2</v>
      </c>
    </row>
    <row r="314" spans="1:34" x14ac:dyDescent="0.35">
      <c r="A314" t="s">
        <v>30</v>
      </c>
      <c r="B314">
        <v>2021</v>
      </c>
      <c r="C314" t="s">
        <v>42</v>
      </c>
      <c r="D314">
        <v>145.4</v>
      </c>
      <c r="E314">
        <v>202.1</v>
      </c>
      <c r="F314">
        <v>172</v>
      </c>
      <c r="G314">
        <v>158</v>
      </c>
      <c r="H314">
        <v>195.5</v>
      </c>
      <c r="I314">
        <v>152.69999999999999</v>
      </c>
      <c r="J314">
        <v>151.4</v>
      </c>
      <c r="K314">
        <v>163.9</v>
      </c>
      <c r="L314">
        <v>119.3</v>
      </c>
      <c r="M314">
        <v>170.1</v>
      </c>
      <c r="N314">
        <v>168.3</v>
      </c>
      <c r="O314">
        <v>172.8</v>
      </c>
      <c r="P314">
        <v>162.1</v>
      </c>
      <c r="Q314">
        <v>190.5</v>
      </c>
      <c r="R314">
        <v>167.7</v>
      </c>
      <c r="S314">
        <v>163.6</v>
      </c>
      <c r="T314">
        <v>167.1</v>
      </c>
      <c r="U314" t="s">
        <v>32</v>
      </c>
      <c r="V314">
        <v>163.69999999999999</v>
      </c>
      <c r="W314">
        <v>161.30000000000001</v>
      </c>
      <c r="X314">
        <v>171.9</v>
      </c>
      <c r="Y314">
        <v>157.80000000000001</v>
      </c>
      <c r="Z314">
        <v>162.69999999999999</v>
      </c>
      <c r="AA314">
        <v>168.5</v>
      </c>
      <c r="AB314">
        <v>160.19999999999999</v>
      </c>
      <c r="AC314">
        <v>163.80000000000001</v>
      </c>
      <c r="AD314">
        <v>164</v>
      </c>
      <c r="AE314">
        <v>2133.6</v>
      </c>
      <c r="AF314">
        <v>824.7</v>
      </c>
      <c r="AG314">
        <v>171.9</v>
      </c>
      <c r="AH314">
        <v>325</v>
      </c>
    </row>
    <row r="315" spans="1:34" x14ac:dyDescent="0.35">
      <c r="A315" t="s">
        <v>33</v>
      </c>
      <c r="B315">
        <v>2021</v>
      </c>
      <c r="C315" t="s">
        <v>42</v>
      </c>
      <c r="D315">
        <v>149.30000000000001</v>
      </c>
      <c r="E315">
        <v>207.4</v>
      </c>
      <c r="F315">
        <v>174.1</v>
      </c>
      <c r="G315">
        <v>159.1</v>
      </c>
      <c r="H315">
        <v>175</v>
      </c>
      <c r="I315">
        <v>161.19999999999999</v>
      </c>
      <c r="J315">
        <v>183.5</v>
      </c>
      <c r="K315">
        <v>164.5</v>
      </c>
      <c r="L315">
        <v>120.4</v>
      </c>
      <c r="M315">
        <v>166.2</v>
      </c>
      <c r="N315">
        <v>154.80000000000001</v>
      </c>
      <c r="O315">
        <v>175.1</v>
      </c>
      <c r="P315">
        <v>167.3</v>
      </c>
      <c r="Q315">
        <v>196.5</v>
      </c>
      <c r="R315">
        <v>159.80000000000001</v>
      </c>
      <c r="S315">
        <v>143.6</v>
      </c>
      <c r="T315">
        <v>157.4</v>
      </c>
      <c r="U315">
        <v>162.1</v>
      </c>
      <c r="V315">
        <v>160.80000000000001</v>
      </c>
      <c r="W315">
        <v>153.30000000000001</v>
      </c>
      <c r="X315">
        <v>162.80000000000001</v>
      </c>
      <c r="Y315">
        <v>150.5</v>
      </c>
      <c r="Z315">
        <v>153.9</v>
      </c>
      <c r="AA315">
        <v>160.30000000000001</v>
      </c>
      <c r="AB315">
        <v>159.6</v>
      </c>
      <c r="AC315">
        <v>156</v>
      </c>
      <c r="AD315">
        <v>162.30000000000001</v>
      </c>
      <c r="AE315">
        <v>2157.9</v>
      </c>
      <c r="AF315">
        <v>771.59999999999991</v>
      </c>
      <c r="AG315">
        <v>162.80000000000001</v>
      </c>
      <c r="AH315">
        <v>476.2</v>
      </c>
    </row>
    <row r="316" spans="1:34" x14ac:dyDescent="0.35">
      <c r="A316" t="s">
        <v>34</v>
      </c>
      <c r="B316">
        <v>2021</v>
      </c>
      <c r="C316" t="s">
        <v>42</v>
      </c>
      <c r="D316">
        <v>146.6</v>
      </c>
      <c r="E316">
        <v>204</v>
      </c>
      <c r="F316">
        <v>172.8</v>
      </c>
      <c r="G316">
        <v>158.4</v>
      </c>
      <c r="H316">
        <v>188</v>
      </c>
      <c r="I316">
        <v>156.69999999999999</v>
      </c>
      <c r="J316">
        <v>162.30000000000001</v>
      </c>
      <c r="K316">
        <v>164.1</v>
      </c>
      <c r="L316">
        <v>119.7</v>
      </c>
      <c r="M316">
        <v>168.8</v>
      </c>
      <c r="N316">
        <v>162.69999999999999</v>
      </c>
      <c r="O316">
        <v>173.9</v>
      </c>
      <c r="P316">
        <v>164</v>
      </c>
      <c r="Q316">
        <v>192.1</v>
      </c>
      <c r="R316">
        <v>164.6</v>
      </c>
      <c r="S316">
        <v>155.30000000000001</v>
      </c>
      <c r="T316">
        <v>163.30000000000001</v>
      </c>
      <c r="U316">
        <v>162.1</v>
      </c>
      <c r="V316">
        <v>162.6</v>
      </c>
      <c r="W316">
        <v>157.5</v>
      </c>
      <c r="X316">
        <v>168.4</v>
      </c>
      <c r="Y316">
        <v>154</v>
      </c>
      <c r="Z316">
        <v>157.69999999999999</v>
      </c>
      <c r="AA316">
        <v>163.69999999999999</v>
      </c>
      <c r="AB316">
        <v>160</v>
      </c>
      <c r="AC316">
        <v>160</v>
      </c>
      <c r="AD316">
        <v>163.19999999999999</v>
      </c>
      <c r="AE316">
        <v>2142</v>
      </c>
      <c r="AF316">
        <v>800.90000000000009</v>
      </c>
      <c r="AG316">
        <v>168.4</v>
      </c>
      <c r="AH316">
        <v>482.2</v>
      </c>
    </row>
    <row r="317" spans="1:34" x14ac:dyDescent="0.35">
      <c r="A317" t="s">
        <v>30</v>
      </c>
      <c r="B317">
        <v>2021</v>
      </c>
      <c r="C317" t="s">
        <v>43</v>
      </c>
      <c r="D317">
        <v>146.1</v>
      </c>
      <c r="E317">
        <v>202.5</v>
      </c>
      <c r="F317">
        <v>170.1</v>
      </c>
      <c r="G317">
        <v>158.4</v>
      </c>
      <c r="H317">
        <v>198.8</v>
      </c>
      <c r="I317">
        <v>152.6</v>
      </c>
      <c r="J317">
        <v>170.4</v>
      </c>
      <c r="K317">
        <v>165.2</v>
      </c>
      <c r="L317">
        <v>121.6</v>
      </c>
      <c r="M317">
        <v>170.6</v>
      </c>
      <c r="N317">
        <v>168.8</v>
      </c>
      <c r="O317">
        <v>173.6</v>
      </c>
      <c r="P317">
        <v>165.5</v>
      </c>
      <c r="Q317">
        <v>191.2</v>
      </c>
      <c r="R317">
        <v>168.9</v>
      </c>
      <c r="S317">
        <v>164.8</v>
      </c>
      <c r="T317">
        <v>168.3</v>
      </c>
      <c r="U317" t="s">
        <v>32</v>
      </c>
      <c r="V317">
        <v>165.5</v>
      </c>
      <c r="W317">
        <v>162</v>
      </c>
      <c r="X317">
        <v>172.5</v>
      </c>
      <c r="Y317">
        <v>159.5</v>
      </c>
      <c r="Z317">
        <v>163.19999999999999</v>
      </c>
      <c r="AA317">
        <v>169</v>
      </c>
      <c r="AB317">
        <v>161.1</v>
      </c>
      <c r="AC317">
        <v>164.7</v>
      </c>
      <c r="AD317">
        <v>166.3</v>
      </c>
      <c r="AE317">
        <v>2164.1999999999998</v>
      </c>
      <c r="AF317">
        <v>830.5</v>
      </c>
      <c r="AG317">
        <v>172.5</v>
      </c>
      <c r="AH317">
        <v>327.5</v>
      </c>
    </row>
    <row r="318" spans="1:34" x14ac:dyDescent="0.35">
      <c r="A318" t="s">
        <v>33</v>
      </c>
      <c r="B318">
        <v>2021</v>
      </c>
      <c r="C318" t="s">
        <v>43</v>
      </c>
      <c r="D318">
        <v>150.1</v>
      </c>
      <c r="E318">
        <v>208.4</v>
      </c>
      <c r="F318">
        <v>173</v>
      </c>
      <c r="G318">
        <v>159.19999999999999</v>
      </c>
      <c r="H318">
        <v>176.6</v>
      </c>
      <c r="I318">
        <v>159.30000000000001</v>
      </c>
      <c r="J318">
        <v>214.4</v>
      </c>
      <c r="K318">
        <v>165.3</v>
      </c>
      <c r="L318">
        <v>122.5</v>
      </c>
      <c r="M318">
        <v>166.8</v>
      </c>
      <c r="N318">
        <v>155.4</v>
      </c>
      <c r="O318">
        <v>175.9</v>
      </c>
      <c r="P318">
        <v>171.5</v>
      </c>
      <c r="Q318">
        <v>197</v>
      </c>
      <c r="R318">
        <v>160.80000000000001</v>
      </c>
      <c r="S318">
        <v>144.4</v>
      </c>
      <c r="T318">
        <v>158.30000000000001</v>
      </c>
      <c r="U318">
        <v>163.6</v>
      </c>
      <c r="V318">
        <v>162.19999999999999</v>
      </c>
      <c r="W318">
        <v>154.30000000000001</v>
      </c>
      <c r="X318">
        <v>163.5</v>
      </c>
      <c r="Y318">
        <v>152.19999999999999</v>
      </c>
      <c r="Z318">
        <v>155.1</v>
      </c>
      <c r="AA318">
        <v>160.30000000000001</v>
      </c>
      <c r="AB318">
        <v>160.30000000000001</v>
      </c>
      <c r="AC318">
        <v>157</v>
      </c>
      <c r="AD318">
        <v>164.6</v>
      </c>
      <c r="AE318">
        <v>2198.4000000000005</v>
      </c>
      <c r="AF318">
        <v>776</v>
      </c>
      <c r="AG318">
        <v>163.5</v>
      </c>
      <c r="AH318">
        <v>480.09999999999997</v>
      </c>
    </row>
    <row r="319" spans="1:34" x14ac:dyDescent="0.35">
      <c r="A319" t="s">
        <v>34</v>
      </c>
      <c r="B319">
        <v>2021</v>
      </c>
      <c r="C319" t="s">
        <v>43</v>
      </c>
      <c r="D319">
        <v>147.4</v>
      </c>
      <c r="E319">
        <v>204.6</v>
      </c>
      <c r="F319">
        <v>171.2</v>
      </c>
      <c r="G319">
        <v>158.69999999999999</v>
      </c>
      <c r="H319">
        <v>190.6</v>
      </c>
      <c r="I319">
        <v>155.69999999999999</v>
      </c>
      <c r="J319">
        <v>185.3</v>
      </c>
      <c r="K319">
        <v>165.2</v>
      </c>
      <c r="L319">
        <v>121.9</v>
      </c>
      <c r="M319">
        <v>169.3</v>
      </c>
      <c r="N319">
        <v>163.19999999999999</v>
      </c>
      <c r="O319">
        <v>174.7</v>
      </c>
      <c r="P319">
        <v>167.7</v>
      </c>
      <c r="Q319">
        <v>192.7</v>
      </c>
      <c r="R319">
        <v>165.7</v>
      </c>
      <c r="S319">
        <v>156.30000000000001</v>
      </c>
      <c r="T319">
        <v>164.3</v>
      </c>
      <c r="U319">
        <v>163.6</v>
      </c>
      <c r="V319">
        <v>164.2</v>
      </c>
      <c r="W319">
        <v>158.4</v>
      </c>
      <c r="X319">
        <v>169.1</v>
      </c>
      <c r="Y319">
        <v>155.69999999999999</v>
      </c>
      <c r="Z319">
        <v>158.6</v>
      </c>
      <c r="AA319">
        <v>163.9</v>
      </c>
      <c r="AB319">
        <v>160.80000000000001</v>
      </c>
      <c r="AC319">
        <v>161</v>
      </c>
      <c r="AD319">
        <v>165.5</v>
      </c>
      <c r="AE319">
        <v>2175.5</v>
      </c>
      <c r="AF319">
        <v>805.9</v>
      </c>
      <c r="AG319">
        <v>169.1</v>
      </c>
      <c r="AH319">
        <v>486.19999999999993</v>
      </c>
    </row>
    <row r="320" spans="1:34" x14ac:dyDescent="0.35">
      <c r="A320" t="s">
        <v>30</v>
      </c>
      <c r="B320">
        <v>2021</v>
      </c>
      <c r="C320" t="s">
        <v>45</v>
      </c>
      <c r="D320">
        <v>146.9</v>
      </c>
      <c r="E320">
        <v>199.8</v>
      </c>
      <c r="F320">
        <v>171.5</v>
      </c>
      <c r="G320">
        <v>159.1</v>
      </c>
      <c r="H320">
        <v>198.4</v>
      </c>
      <c r="I320">
        <v>153.19999999999999</v>
      </c>
      <c r="J320">
        <v>183.9</v>
      </c>
      <c r="K320">
        <v>165.4</v>
      </c>
      <c r="L320">
        <v>122.1</v>
      </c>
      <c r="M320">
        <v>170.8</v>
      </c>
      <c r="N320">
        <v>169.1</v>
      </c>
      <c r="O320">
        <v>174.3</v>
      </c>
      <c r="P320">
        <v>167.5</v>
      </c>
      <c r="Q320">
        <v>191.4</v>
      </c>
      <c r="R320">
        <v>170.4</v>
      </c>
      <c r="S320">
        <v>166</v>
      </c>
      <c r="T320">
        <v>169.8</v>
      </c>
      <c r="U320" t="s">
        <v>32</v>
      </c>
      <c r="V320">
        <v>165.3</v>
      </c>
      <c r="W320">
        <v>162.9</v>
      </c>
      <c r="X320">
        <v>173.4</v>
      </c>
      <c r="Y320">
        <v>158.9</v>
      </c>
      <c r="Z320">
        <v>163.80000000000001</v>
      </c>
      <c r="AA320">
        <v>169.3</v>
      </c>
      <c r="AB320">
        <v>162.4</v>
      </c>
      <c r="AC320">
        <v>165.2</v>
      </c>
      <c r="AD320">
        <v>167.6</v>
      </c>
      <c r="AE320">
        <v>2182</v>
      </c>
      <c r="AF320">
        <v>834.40000000000009</v>
      </c>
      <c r="AG320">
        <v>173.4</v>
      </c>
      <c r="AH320">
        <v>328.20000000000005</v>
      </c>
    </row>
    <row r="321" spans="1:34" x14ac:dyDescent="0.35">
      <c r="A321" t="s">
        <v>33</v>
      </c>
      <c r="B321">
        <v>2021</v>
      </c>
      <c r="C321" t="s">
        <v>45</v>
      </c>
      <c r="D321">
        <v>151</v>
      </c>
      <c r="E321">
        <v>204.9</v>
      </c>
      <c r="F321">
        <v>175.4</v>
      </c>
      <c r="G321">
        <v>159.6</v>
      </c>
      <c r="H321">
        <v>175.8</v>
      </c>
      <c r="I321">
        <v>160.30000000000001</v>
      </c>
      <c r="J321">
        <v>229.1</v>
      </c>
      <c r="K321">
        <v>165.1</v>
      </c>
      <c r="L321">
        <v>123.1</v>
      </c>
      <c r="M321">
        <v>167.2</v>
      </c>
      <c r="N321">
        <v>156.1</v>
      </c>
      <c r="O321">
        <v>176.8</v>
      </c>
      <c r="P321">
        <v>173.5</v>
      </c>
      <c r="Q321">
        <v>197</v>
      </c>
      <c r="R321">
        <v>162.30000000000001</v>
      </c>
      <c r="S321">
        <v>145.30000000000001</v>
      </c>
      <c r="T321">
        <v>159.69999999999999</v>
      </c>
      <c r="U321">
        <v>164.2</v>
      </c>
      <c r="V321">
        <v>161.6</v>
      </c>
      <c r="W321">
        <v>155.19999999999999</v>
      </c>
      <c r="X321">
        <v>164.2</v>
      </c>
      <c r="Y321">
        <v>151.19999999999999</v>
      </c>
      <c r="Z321">
        <v>156.69999999999999</v>
      </c>
      <c r="AA321">
        <v>160.80000000000001</v>
      </c>
      <c r="AB321">
        <v>161.80000000000001</v>
      </c>
      <c r="AC321">
        <v>157.30000000000001</v>
      </c>
      <c r="AD321">
        <v>165.6</v>
      </c>
      <c r="AE321">
        <v>2217.8999999999996</v>
      </c>
      <c r="AF321">
        <v>779.3</v>
      </c>
      <c r="AG321">
        <v>164.2</v>
      </c>
      <c r="AH321">
        <v>480.99999999999994</v>
      </c>
    </row>
    <row r="322" spans="1:34" x14ac:dyDescent="0.35">
      <c r="A322" t="s">
        <v>34</v>
      </c>
      <c r="B322">
        <v>2021</v>
      </c>
      <c r="C322" t="s">
        <v>45</v>
      </c>
      <c r="D322">
        <v>148.19999999999999</v>
      </c>
      <c r="E322">
        <v>201.6</v>
      </c>
      <c r="F322">
        <v>173</v>
      </c>
      <c r="G322">
        <v>159.30000000000001</v>
      </c>
      <c r="H322">
        <v>190.1</v>
      </c>
      <c r="I322">
        <v>156.5</v>
      </c>
      <c r="J322">
        <v>199.2</v>
      </c>
      <c r="K322">
        <v>165.3</v>
      </c>
      <c r="L322">
        <v>122.4</v>
      </c>
      <c r="M322">
        <v>169.6</v>
      </c>
      <c r="N322">
        <v>163.69999999999999</v>
      </c>
      <c r="O322">
        <v>175.5</v>
      </c>
      <c r="P322">
        <v>169.7</v>
      </c>
      <c r="Q322">
        <v>192.9</v>
      </c>
      <c r="R322">
        <v>167.2</v>
      </c>
      <c r="S322">
        <v>157.4</v>
      </c>
      <c r="T322">
        <v>165.8</v>
      </c>
      <c r="U322">
        <v>164.2</v>
      </c>
      <c r="V322">
        <v>163.9</v>
      </c>
      <c r="W322">
        <v>159.30000000000001</v>
      </c>
      <c r="X322">
        <v>169.9</v>
      </c>
      <c r="Y322">
        <v>154.80000000000001</v>
      </c>
      <c r="Z322">
        <v>159.80000000000001</v>
      </c>
      <c r="AA322">
        <v>164.3</v>
      </c>
      <c r="AB322">
        <v>162.19999999999999</v>
      </c>
      <c r="AC322">
        <v>161.4</v>
      </c>
      <c r="AD322">
        <v>166.7</v>
      </c>
      <c r="AE322">
        <v>2194.1</v>
      </c>
      <c r="AF322">
        <v>809.5</v>
      </c>
      <c r="AG322">
        <v>169.9</v>
      </c>
      <c r="AH322">
        <v>487.40000000000003</v>
      </c>
    </row>
    <row r="323" spans="1:34" x14ac:dyDescent="0.35">
      <c r="A323" t="s">
        <v>30</v>
      </c>
      <c r="B323">
        <v>2021</v>
      </c>
      <c r="C323" t="s">
        <v>46</v>
      </c>
      <c r="D323">
        <v>147.4</v>
      </c>
      <c r="E323">
        <v>197</v>
      </c>
      <c r="F323">
        <v>176.5</v>
      </c>
      <c r="G323">
        <v>159.80000000000001</v>
      </c>
      <c r="H323">
        <v>195.8</v>
      </c>
      <c r="I323">
        <v>152</v>
      </c>
      <c r="J323">
        <v>172.3</v>
      </c>
      <c r="K323">
        <v>164.5</v>
      </c>
      <c r="L323">
        <v>120.6</v>
      </c>
      <c r="M323">
        <v>171.7</v>
      </c>
      <c r="N323">
        <v>169.7</v>
      </c>
      <c r="O323">
        <v>175.1</v>
      </c>
      <c r="P323">
        <v>165.8</v>
      </c>
      <c r="Q323">
        <v>190.8</v>
      </c>
      <c r="R323">
        <v>171.8</v>
      </c>
      <c r="S323">
        <v>167.3</v>
      </c>
      <c r="T323">
        <v>171.2</v>
      </c>
      <c r="U323" t="s">
        <v>32</v>
      </c>
      <c r="V323">
        <v>165.6</v>
      </c>
      <c r="W323">
        <v>163.9</v>
      </c>
      <c r="X323">
        <v>174</v>
      </c>
      <c r="Y323">
        <v>160.1</v>
      </c>
      <c r="Z323">
        <v>164.5</v>
      </c>
      <c r="AA323">
        <v>169.7</v>
      </c>
      <c r="AB323">
        <v>162.80000000000001</v>
      </c>
      <c r="AC323">
        <v>166</v>
      </c>
      <c r="AD323">
        <v>167</v>
      </c>
      <c r="AE323">
        <v>2168.1999999999998</v>
      </c>
      <c r="AF323">
        <v>840.09999999999991</v>
      </c>
      <c r="AG323">
        <v>174</v>
      </c>
      <c r="AH323">
        <v>329.5</v>
      </c>
    </row>
    <row r="324" spans="1:34" x14ac:dyDescent="0.35">
      <c r="A324" t="s">
        <v>33</v>
      </c>
      <c r="B324">
        <v>2021</v>
      </c>
      <c r="C324" t="s">
        <v>46</v>
      </c>
      <c r="D324">
        <v>151.6</v>
      </c>
      <c r="E324">
        <v>202.2</v>
      </c>
      <c r="F324">
        <v>180</v>
      </c>
      <c r="G324">
        <v>160</v>
      </c>
      <c r="H324">
        <v>173.5</v>
      </c>
      <c r="I324">
        <v>158.30000000000001</v>
      </c>
      <c r="J324">
        <v>219.5</v>
      </c>
      <c r="K324">
        <v>164.2</v>
      </c>
      <c r="L324">
        <v>121.9</v>
      </c>
      <c r="M324">
        <v>168.2</v>
      </c>
      <c r="N324">
        <v>156.5</v>
      </c>
      <c r="O324">
        <v>178.2</v>
      </c>
      <c r="P324">
        <v>172.2</v>
      </c>
      <c r="Q324">
        <v>196.8</v>
      </c>
      <c r="R324">
        <v>163.30000000000001</v>
      </c>
      <c r="S324">
        <v>146.69999999999999</v>
      </c>
      <c r="T324">
        <v>160.69999999999999</v>
      </c>
      <c r="U324">
        <v>163.4</v>
      </c>
      <c r="V324">
        <v>161.69999999999999</v>
      </c>
      <c r="W324">
        <v>156</v>
      </c>
      <c r="X324">
        <v>165.1</v>
      </c>
      <c r="Y324">
        <v>151.80000000000001</v>
      </c>
      <c r="Z324">
        <v>157.6</v>
      </c>
      <c r="AA324">
        <v>160.6</v>
      </c>
      <c r="AB324">
        <v>162.4</v>
      </c>
      <c r="AC324">
        <v>157.80000000000001</v>
      </c>
      <c r="AD324">
        <v>165.2</v>
      </c>
      <c r="AE324">
        <v>2206.3000000000002</v>
      </c>
      <c r="AF324">
        <v>783.1</v>
      </c>
      <c r="AG324">
        <v>165.1</v>
      </c>
      <c r="AH324">
        <v>481.1</v>
      </c>
    </row>
    <row r="325" spans="1:34" x14ac:dyDescent="0.35">
      <c r="A325" t="s">
        <v>34</v>
      </c>
      <c r="B325">
        <v>2021</v>
      </c>
      <c r="C325" t="s">
        <v>46</v>
      </c>
      <c r="D325">
        <v>148.69999999999999</v>
      </c>
      <c r="E325">
        <v>198.8</v>
      </c>
      <c r="F325">
        <v>177.9</v>
      </c>
      <c r="G325">
        <v>159.9</v>
      </c>
      <c r="H325">
        <v>187.6</v>
      </c>
      <c r="I325">
        <v>154.9</v>
      </c>
      <c r="J325">
        <v>188.3</v>
      </c>
      <c r="K325">
        <v>164.4</v>
      </c>
      <c r="L325">
        <v>121</v>
      </c>
      <c r="M325">
        <v>170.5</v>
      </c>
      <c r="N325">
        <v>164.2</v>
      </c>
      <c r="O325">
        <v>176.5</v>
      </c>
      <c r="P325">
        <v>168.2</v>
      </c>
      <c r="Q325">
        <v>192.4</v>
      </c>
      <c r="R325">
        <v>168.5</v>
      </c>
      <c r="S325">
        <v>158.69999999999999</v>
      </c>
      <c r="T325">
        <v>167</v>
      </c>
      <c r="U325">
        <v>163.4</v>
      </c>
      <c r="V325">
        <v>164.1</v>
      </c>
      <c r="W325">
        <v>160.19999999999999</v>
      </c>
      <c r="X325">
        <v>170.6</v>
      </c>
      <c r="Y325">
        <v>155.69999999999999</v>
      </c>
      <c r="Z325">
        <v>160.6</v>
      </c>
      <c r="AA325">
        <v>164.4</v>
      </c>
      <c r="AB325">
        <v>162.6</v>
      </c>
      <c r="AC325">
        <v>162</v>
      </c>
      <c r="AD325">
        <v>166.2</v>
      </c>
      <c r="AE325">
        <v>2180.9</v>
      </c>
      <c r="AF325">
        <v>814.3</v>
      </c>
      <c r="AG325">
        <v>170.6</v>
      </c>
      <c r="AH325">
        <v>487.7</v>
      </c>
    </row>
    <row r="326" spans="1:34" x14ac:dyDescent="0.35">
      <c r="A326" t="s">
        <v>30</v>
      </c>
      <c r="B326">
        <v>2022</v>
      </c>
      <c r="C326" t="s">
        <v>31</v>
      </c>
      <c r="D326">
        <v>148.30000000000001</v>
      </c>
      <c r="E326">
        <v>196.9</v>
      </c>
      <c r="F326">
        <v>178</v>
      </c>
      <c r="G326">
        <v>160.5</v>
      </c>
      <c r="H326">
        <v>192.6</v>
      </c>
      <c r="I326">
        <v>151.19999999999999</v>
      </c>
      <c r="J326">
        <v>159.19999999999999</v>
      </c>
      <c r="K326">
        <v>164</v>
      </c>
      <c r="L326">
        <v>119.3</v>
      </c>
      <c r="M326">
        <v>173.3</v>
      </c>
      <c r="N326">
        <v>169.8</v>
      </c>
      <c r="O326">
        <v>175.8</v>
      </c>
      <c r="P326">
        <v>164.1</v>
      </c>
      <c r="Q326">
        <v>190.7</v>
      </c>
      <c r="R326">
        <v>173.2</v>
      </c>
      <c r="S326">
        <v>169.3</v>
      </c>
      <c r="T326">
        <v>172.7</v>
      </c>
      <c r="U326" t="s">
        <v>32</v>
      </c>
      <c r="V326">
        <v>165.8</v>
      </c>
      <c r="W326">
        <v>164.9</v>
      </c>
      <c r="X326">
        <v>174.7</v>
      </c>
      <c r="Y326">
        <v>160.80000000000001</v>
      </c>
      <c r="Z326">
        <v>164.9</v>
      </c>
      <c r="AA326">
        <v>169.9</v>
      </c>
      <c r="AB326">
        <v>163.19999999999999</v>
      </c>
      <c r="AC326">
        <v>166.6</v>
      </c>
      <c r="AD326">
        <v>166.4</v>
      </c>
      <c r="AE326">
        <v>2153</v>
      </c>
      <c r="AF326">
        <v>845.9</v>
      </c>
      <c r="AG326">
        <v>174.7</v>
      </c>
      <c r="AH326">
        <v>330.70000000000005</v>
      </c>
    </row>
    <row r="327" spans="1:34" x14ac:dyDescent="0.35">
      <c r="A327" t="s">
        <v>33</v>
      </c>
      <c r="B327">
        <v>2022</v>
      </c>
      <c r="C327" t="s">
        <v>31</v>
      </c>
      <c r="D327">
        <v>152.19999999999999</v>
      </c>
      <c r="E327">
        <v>202.1</v>
      </c>
      <c r="F327">
        <v>180.1</v>
      </c>
      <c r="G327">
        <v>160.4</v>
      </c>
      <c r="H327">
        <v>171</v>
      </c>
      <c r="I327">
        <v>156.5</v>
      </c>
      <c r="J327">
        <v>203.6</v>
      </c>
      <c r="K327">
        <v>163.80000000000001</v>
      </c>
      <c r="L327">
        <v>121.3</v>
      </c>
      <c r="M327">
        <v>169.8</v>
      </c>
      <c r="N327">
        <v>156.6</v>
      </c>
      <c r="O327">
        <v>179</v>
      </c>
      <c r="P327">
        <v>170.3</v>
      </c>
      <c r="Q327">
        <v>196.4</v>
      </c>
      <c r="R327">
        <v>164.7</v>
      </c>
      <c r="S327">
        <v>148.5</v>
      </c>
      <c r="T327">
        <v>162.19999999999999</v>
      </c>
      <c r="U327">
        <v>164.5</v>
      </c>
      <c r="V327">
        <v>161.6</v>
      </c>
      <c r="W327">
        <v>156.80000000000001</v>
      </c>
      <c r="X327">
        <v>166.1</v>
      </c>
      <c r="Y327">
        <v>152.69999999999999</v>
      </c>
      <c r="Z327">
        <v>158.4</v>
      </c>
      <c r="AA327">
        <v>161</v>
      </c>
      <c r="AB327">
        <v>162.80000000000001</v>
      </c>
      <c r="AC327">
        <v>158.6</v>
      </c>
      <c r="AD327">
        <v>165</v>
      </c>
      <c r="AE327">
        <v>2186.6999999999998</v>
      </c>
      <c r="AF327">
        <v>789.09999999999991</v>
      </c>
      <c r="AG327">
        <v>166.1</v>
      </c>
      <c r="AH327">
        <v>482.90000000000003</v>
      </c>
    </row>
    <row r="328" spans="1:34" x14ac:dyDescent="0.35">
      <c r="A328" t="s">
        <v>34</v>
      </c>
      <c r="B328">
        <v>2022</v>
      </c>
      <c r="C328" t="s">
        <v>31</v>
      </c>
      <c r="D328">
        <v>149.5</v>
      </c>
      <c r="E328">
        <v>198.7</v>
      </c>
      <c r="F328">
        <v>178.8</v>
      </c>
      <c r="G328">
        <v>160.5</v>
      </c>
      <c r="H328">
        <v>184.7</v>
      </c>
      <c r="I328">
        <v>153.69999999999999</v>
      </c>
      <c r="J328">
        <v>174.3</v>
      </c>
      <c r="K328">
        <v>163.9</v>
      </c>
      <c r="L328">
        <v>120</v>
      </c>
      <c r="M328">
        <v>172.1</v>
      </c>
      <c r="N328">
        <v>164.3</v>
      </c>
      <c r="O328">
        <v>177.3</v>
      </c>
      <c r="P328">
        <v>166.4</v>
      </c>
      <c r="Q328">
        <v>192.2</v>
      </c>
      <c r="R328">
        <v>169.9</v>
      </c>
      <c r="S328">
        <v>160.69999999999999</v>
      </c>
      <c r="T328">
        <v>168.5</v>
      </c>
      <c r="U328">
        <v>164.5</v>
      </c>
      <c r="V328">
        <v>164.2</v>
      </c>
      <c r="W328">
        <v>161.1</v>
      </c>
      <c r="X328">
        <v>171.4</v>
      </c>
      <c r="Y328">
        <v>156.5</v>
      </c>
      <c r="Z328">
        <v>161.19999999999999</v>
      </c>
      <c r="AA328">
        <v>164.7</v>
      </c>
      <c r="AB328">
        <v>163</v>
      </c>
      <c r="AC328">
        <v>162.69999999999999</v>
      </c>
      <c r="AD328">
        <v>165.7</v>
      </c>
      <c r="AE328">
        <v>2164.1999999999998</v>
      </c>
      <c r="AF328">
        <v>820.3</v>
      </c>
      <c r="AG328">
        <v>171.4</v>
      </c>
      <c r="AH328">
        <v>489.79999999999995</v>
      </c>
    </row>
    <row r="329" spans="1:34" x14ac:dyDescent="0.35">
      <c r="A329" t="s">
        <v>30</v>
      </c>
      <c r="B329">
        <v>2022</v>
      </c>
      <c r="C329" t="s">
        <v>35</v>
      </c>
      <c r="D329">
        <v>148.80000000000001</v>
      </c>
      <c r="E329">
        <v>198.1</v>
      </c>
      <c r="F329">
        <v>175.5</v>
      </c>
      <c r="G329">
        <v>160.69999999999999</v>
      </c>
      <c r="H329">
        <v>192.6</v>
      </c>
      <c r="I329">
        <v>151.4</v>
      </c>
      <c r="J329">
        <v>155.19999999999999</v>
      </c>
      <c r="K329">
        <v>163.9</v>
      </c>
      <c r="L329">
        <v>118.1</v>
      </c>
      <c r="M329">
        <v>175.4</v>
      </c>
      <c r="N329">
        <v>170.5</v>
      </c>
      <c r="O329">
        <v>176.3</v>
      </c>
      <c r="P329">
        <v>163.9</v>
      </c>
      <c r="Q329">
        <v>191.5</v>
      </c>
      <c r="R329">
        <v>174.1</v>
      </c>
      <c r="S329">
        <v>171</v>
      </c>
      <c r="T329">
        <v>173.7</v>
      </c>
      <c r="U329" t="s">
        <v>32</v>
      </c>
      <c r="V329">
        <v>167.4</v>
      </c>
      <c r="W329">
        <v>165.7</v>
      </c>
      <c r="X329">
        <v>175.3</v>
      </c>
      <c r="Y329">
        <v>161.19999999999999</v>
      </c>
      <c r="Z329">
        <v>165.5</v>
      </c>
      <c r="AA329">
        <v>170.3</v>
      </c>
      <c r="AB329">
        <v>164.5</v>
      </c>
      <c r="AC329">
        <v>167.3</v>
      </c>
      <c r="AD329">
        <v>166.7</v>
      </c>
      <c r="AE329">
        <v>2150.4</v>
      </c>
      <c r="AF329">
        <v>850.3</v>
      </c>
      <c r="AG329">
        <v>175.3</v>
      </c>
      <c r="AH329">
        <v>333.1</v>
      </c>
    </row>
    <row r="330" spans="1:34" x14ac:dyDescent="0.35">
      <c r="A330" t="s">
        <v>33</v>
      </c>
      <c r="B330">
        <v>2022</v>
      </c>
      <c r="C330" t="s">
        <v>35</v>
      </c>
      <c r="D330">
        <v>152.5</v>
      </c>
      <c r="E330">
        <v>205.2</v>
      </c>
      <c r="F330">
        <v>176.4</v>
      </c>
      <c r="G330">
        <v>160.6</v>
      </c>
      <c r="H330">
        <v>171.5</v>
      </c>
      <c r="I330">
        <v>156.4</v>
      </c>
      <c r="J330">
        <v>198</v>
      </c>
      <c r="K330">
        <v>163.19999999999999</v>
      </c>
      <c r="L330">
        <v>120.6</v>
      </c>
      <c r="M330">
        <v>172.2</v>
      </c>
      <c r="N330">
        <v>156.69999999999999</v>
      </c>
      <c r="O330">
        <v>180</v>
      </c>
      <c r="P330">
        <v>170.2</v>
      </c>
      <c r="Q330">
        <v>196.5</v>
      </c>
      <c r="R330">
        <v>165.7</v>
      </c>
      <c r="S330">
        <v>150.4</v>
      </c>
      <c r="T330">
        <v>163.4</v>
      </c>
      <c r="U330">
        <v>165.5</v>
      </c>
      <c r="V330">
        <v>163</v>
      </c>
      <c r="W330">
        <v>157.4</v>
      </c>
      <c r="X330">
        <v>167.2</v>
      </c>
      <c r="Y330">
        <v>153.1</v>
      </c>
      <c r="Z330">
        <v>159.5</v>
      </c>
      <c r="AA330">
        <v>162</v>
      </c>
      <c r="AB330">
        <v>164.2</v>
      </c>
      <c r="AC330">
        <v>159.4</v>
      </c>
      <c r="AD330">
        <v>165.5</v>
      </c>
      <c r="AE330">
        <v>2183.5</v>
      </c>
      <c r="AF330">
        <v>794.6</v>
      </c>
      <c r="AG330">
        <v>167.2</v>
      </c>
      <c r="AH330">
        <v>485.9</v>
      </c>
    </row>
    <row r="331" spans="1:34" x14ac:dyDescent="0.35">
      <c r="A331" t="s">
        <v>34</v>
      </c>
      <c r="B331">
        <v>2022</v>
      </c>
      <c r="C331" t="s">
        <v>35</v>
      </c>
      <c r="D331">
        <v>150</v>
      </c>
      <c r="E331">
        <v>200.6</v>
      </c>
      <c r="F331">
        <v>175.8</v>
      </c>
      <c r="G331">
        <v>160.69999999999999</v>
      </c>
      <c r="H331">
        <v>184.9</v>
      </c>
      <c r="I331">
        <v>153.69999999999999</v>
      </c>
      <c r="J331">
        <v>169.7</v>
      </c>
      <c r="K331">
        <v>163.69999999999999</v>
      </c>
      <c r="L331">
        <v>118.9</v>
      </c>
      <c r="M331">
        <v>174.3</v>
      </c>
      <c r="N331">
        <v>164.7</v>
      </c>
      <c r="O331">
        <v>178</v>
      </c>
      <c r="P331">
        <v>166.2</v>
      </c>
      <c r="Q331">
        <v>192.8</v>
      </c>
      <c r="R331">
        <v>170.8</v>
      </c>
      <c r="S331">
        <v>162.4</v>
      </c>
      <c r="T331">
        <v>169.6</v>
      </c>
      <c r="U331">
        <v>165.5</v>
      </c>
      <c r="V331">
        <v>165.7</v>
      </c>
      <c r="W331">
        <v>161.80000000000001</v>
      </c>
      <c r="X331">
        <v>172.2</v>
      </c>
      <c r="Y331">
        <v>156.9</v>
      </c>
      <c r="Z331">
        <v>162.1</v>
      </c>
      <c r="AA331">
        <v>165.4</v>
      </c>
      <c r="AB331">
        <v>164.4</v>
      </c>
      <c r="AC331">
        <v>163.5</v>
      </c>
      <c r="AD331">
        <v>166.1</v>
      </c>
      <c r="AE331">
        <v>2161.2000000000003</v>
      </c>
      <c r="AF331">
        <v>825.1</v>
      </c>
      <c r="AG331">
        <v>172.2</v>
      </c>
      <c r="AH331">
        <v>493</v>
      </c>
    </row>
    <row r="332" spans="1:34" x14ac:dyDescent="0.35">
      <c r="A332" t="s">
        <v>30</v>
      </c>
      <c r="B332">
        <v>2022</v>
      </c>
      <c r="C332" t="s">
        <v>36</v>
      </c>
      <c r="D332">
        <v>150.19999999999999</v>
      </c>
      <c r="E332">
        <v>208</v>
      </c>
      <c r="F332">
        <v>167.9</v>
      </c>
      <c r="G332">
        <v>162</v>
      </c>
      <c r="H332">
        <v>203.1</v>
      </c>
      <c r="I332">
        <v>155.9</v>
      </c>
      <c r="J332">
        <v>155.80000000000001</v>
      </c>
      <c r="K332">
        <v>164.2</v>
      </c>
      <c r="L332">
        <v>118.1</v>
      </c>
      <c r="M332">
        <v>178.7</v>
      </c>
      <c r="N332">
        <v>171.2</v>
      </c>
      <c r="O332">
        <v>177.4</v>
      </c>
      <c r="P332">
        <v>166.6</v>
      </c>
      <c r="Q332">
        <v>192.3</v>
      </c>
      <c r="R332">
        <v>175.4</v>
      </c>
      <c r="S332">
        <v>173.2</v>
      </c>
      <c r="T332">
        <v>175.1</v>
      </c>
      <c r="U332" t="s">
        <v>32</v>
      </c>
      <c r="V332">
        <v>168.9</v>
      </c>
      <c r="W332">
        <v>166.5</v>
      </c>
      <c r="X332">
        <v>176</v>
      </c>
      <c r="Y332">
        <v>162</v>
      </c>
      <c r="Z332">
        <v>166.6</v>
      </c>
      <c r="AA332">
        <v>170.6</v>
      </c>
      <c r="AB332">
        <v>167.4</v>
      </c>
      <c r="AC332">
        <v>168.3</v>
      </c>
      <c r="AD332">
        <v>168.7</v>
      </c>
      <c r="AE332">
        <v>2179.1000000000004</v>
      </c>
      <c r="AF332">
        <v>856.30000000000007</v>
      </c>
      <c r="AG332">
        <v>176</v>
      </c>
      <c r="AH332">
        <v>335.4</v>
      </c>
    </row>
    <row r="333" spans="1:34" x14ac:dyDescent="0.35">
      <c r="A333" t="s">
        <v>33</v>
      </c>
      <c r="B333">
        <v>2022</v>
      </c>
      <c r="C333" t="s">
        <v>36</v>
      </c>
      <c r="D333">
        <v>153.69999999999999</v>
      </c>
      <c r="E333">
        <v>215.8</v>
      </c>
      <c r="F333">
        <v>167.7</v>
      </c>
      <c r="G333">
        <v>162.6</v>
      </c>
      <c r="H333">
        <v>180</v>
      </c>
      <c r="I333">
        <v>159.6</v>
      </c>
      <c r="J333">
        <v>188.4</v>
      </c>
      <c r="K333">
        <v>163.4</v>
      </c>
      <c r="L333">
        <v>120.3</v>
      </c>
      <c r="M333">
        <v>174.7</v>
      </c>
      <c r="N333">
        <v>157.1</v>
      </c>
      <c r="O333">
        <v>181.5</v>
      </c>
      <c r="P333">
        <v>171.5</v>
      </c>
      <c r="Q333">
        <v>197.5</v>
      </c>
      <c r="R333">
        <v>167.1</v>
      </c>
      <c r="S333">
        <v>152.6</v>
      </c>
      <c r="T333">
        <v>164.9</v>
      </c>
      <c r="U333">
        <v>165.3</v>
      </c>
      <c r="V333">
        <v>164.5</v>
      </c>
      <c r="W333">
        <v>158.6</v>
      </c>
      <c r="X333">
        <v>168.2</v>
      </c>
      <c r="Y333">
        <v>154.19999999999999</v>
      </c>
      <c r="Z333">
        <v>160.80000000000001</v>
      </c>
      <c r="AA333">
        <v>162.69999999999999</v>
      </c>
      <c r="AB333">
        <v>166.8</v>
      </c>
      <c r="AC333">
        <v>160.6</v>
      </c>
      <c r="AD333">
        <v>166.5</v>
      </c>
      <c r="AE333">
        <v>2196.3000000000002</v>
      </c>
      <c r="AF333">
        <v>801.5</v>
      </c>
      <c r="AG333">
        <v>168.2</v>
      </c>
      <c r="AH333">
        <v>488.4</v>
      </c>
    </row>
    <row r="334" spans="1:34" x14ac:dyDescent="0.35">
      <c r="A334" t="s">
        <v>34</v>
      </c>
      <c r="B334">
        <v>2022</v>
      </c>
      <c r="C334" t="s">
        <v>36</v>
      </c>
      <c r="D334">
        <v>151.30000000000001</v>
      </c>
      <c r="E334">
        <v>210.7</v>
      </c>
      <c r="F334">
        <v>167.8</v>
      </c>
      <c r="G334">
        <v>162.19999999999999</v>
      </c>
      <c r="H334">
        <v>194.6</v>
      </c>
      <c r="I334">
        <v>157.6</v>
      </c>
      <c r="J334">
        <v>166.9</v>
      </c>
      <c r="K334">
        <v>163.9</v>
      </c>
      <c r="L334">
        <v>118.8</v>
      </c>
      <c r="M334">
        <v>177.4</v>
      </c>
      <c r="N334">
        <v>165.3</v>
      </c>
      <c r="O334">
        <v>179.3</v>
      </c>
      <c r="P334">
        <v>168.4</v>
      </c>
      <c r="Q334">
        <v>193.7</v>
      </c>
      <c r="R334">
        <v>172.1</v>
      </c>
      <c r="S334">
        <v>164.6</v>
      </c>
      <c r="T334">
        <v>171.1</v>
      </c>
      <c r="U334">
        <v>165.3</v>
      </c>
      <c r="V334">
        <v>167.2</v>
      </c>
      <c r="W334">
        <v>162.80000000000001</v>
      </c>
      <c r="X334">
        <v>173</v>
      </c>
      <c r="Y334">
        <v>157.9</v>
      </c>
      <c r="Z334">
        <v>163.30000000000001</v>
      </c>
      <c r="AA334">
        <v>166</v>
      </c>
      <c r="AB334">
        <v>167.2</v>
      </c>
      <c r="AC334">
        <v>164.6</v>
      </c>
      <c r="AD334">
        <v>167.7</v>
      </c>
      <c r="AE334">
        <v>2184.2000000000003</v>
      </c>
      <c r="AF334">
        <v>831.69999999999993</v>
      </c>
      <c r="AG334">
        <v>173</v>
      </c>
      <c r="AH334">
        <v>495.3</v>
      </c>
    </row>
    <row r="335" spans="1:34" x14ac:dyDescent="0.35">
      <c r="A335" t="s">
        <v>30</v>
      </c>
      <c r="B335">
        <v>2022</v>
      </c>
      <c r="C335" t="s">
        <v>37</v>
      </c>
      <c r="D335">
        <v>151.80000000000001</v>
      </c>
      <c r="E335">
        <v>209.7</v>
      </c>
      <c r="F335">
        <v>164.5</v>
      </c>
      <c r="G335">
        <v>163.80000000000001</v>
      </c>
      <c r="H335">
        <v>207.4</v>
      </c>
      <c r="I335">
        <v>169.7</v>
      </c>
      <c r="J335">
        <v>153.6</v>
      </c>
      <c r="K335">
        <v>165.1</v>
      </c>
      <c r="L335">
        <v>118.2</v>
      </c>
      <c r="M335">
        <v>182.9</v>
      </c>
      <c r="N335">
        <v>172.4</v>
      </c>
      <c r="O335">
        <v>178.9</v>
      </c>
      <c r="P335">
        <v>168.6</v>
      </c>
      <c r="Q335">
        <v>192.8</v>
      </c>
      <c r="R335">
        <v>177.5</v>
      </c>
      <c r="S335">
        <v>175.1</v>
      </c>
      <c r="T335">
        <v>177.1</v>
      </c>
      <c r="U335" t="s">
        <v>32</v>
      </c>
      <c r="V335">
        <v>173.3</v>
      </c>
      <c r="W335">
        <v>167.7</v>
      </c>
      <c r="X335">
        <v>177</v>
      </c>
      <c r="Y335">
        <v>166.2</v>
      </c>
      <c r="Z335">
        <v>167.2</v>
      </c>
      <c r="AA335">
        <v>170.9</v>
      </c>
      <c r="AB335">
        <v>169</v>
      </c>
      <c r="AC335">
        <v>170.2</v>
      </c>
      <c r="AD335">
        <v>170.8</v>
      </c>
      <c r="AE335">
        <v>2206.6</v>
      </c>
      <c r="AF335">
        <v>866.80000000000007</v>
      </c>
      <c r="AG335">
        <v>177</v>
      </c>
      <c r="AH335">
        <v>341</v>
      </c>
    </row>
    <row r="336" spans="1:34" x14ac:dyDescent="0.35">
      <c r="A336" t="s">
        <v>33</v>
      </c>
      <c r="B336">
        <v>2022</v>
      </c>
      <c r="C336" t="s">
        <v>37</v>
      </c>
      <c r="D336">
        <v>155.4</v>
      </c>
      <c r="E336">
        <v>215.8</v>
      </c>
      <c r="F336">
        <v>164.6</v>
      </c>
      <c r="G336">
        <v>164.2</v>
      </c>
      <c r="H336">
        <v>186</v>
      </c>
      <c r="I336">
        <v>175.9</v>
      </c>
      <c r="J336">
        <v>190.7</v>
      </c>
      <c r="K336">
        <v>164</v>
      </c>
      <c r="L336">
        <v>120.5</v>
      </c>
      <c r="M336">
        <v>178</v>
      </c>
      <c r="N336">
        <v>157.5</v>
      </c>
      <c r="O336">
        <v>183.3</v>
      </c>
      <c r="P336">
        <v>174.5</v>
      </c>
      <c r="Q336">
        <v>197.1</v>
      </c>
      <c r="R336">
        <v>168.4</v>
      </c>
      <c r="S336">
        <v>154.5</v>
      </c>
      <c r="T336">
        <v>166.3</v>
      </c>
      <c r="U336">
        <v>167</v>
      </c>
      <c r="V336">
        <v>170.5</v>
      </c>
      <c r="W336">
        <v>159.80000000000001</v>
      </c>
      <c r="X336">
        <v>169</v>
      </c>
      <c r="Y336">
        <v>159.30000000000001</v>
      </c>
      <c r="Z336">
        <v>162.19999999999999</v>
      </c>
      <c r="AA336">
        <v>164</v>
      </c>
      <c r="AB336">
        <v>168.4</v>
      </c>
      <c r="AC336">
        <v>163.1</v>
      </c>
      <c r="AD336">
        <v>169.2</v>
      </c>
      <c r="AE336">
        <v>2230.4</v>
      </c>
      <c r="AF336">
        <v>812.5</v>
      </c>
      <c r="AG336">
        <v>169</v>
      </c>
      <c r="AH336">
        <v>497.3</v>
      </c>
    </row>
    <row r="337" spans="1:34" x14ac:dyDescent="0.35">
      <c r="A337" t="s">
        <v>34</v>
      </c>
      <c r="B337">
        <v>2022</v>
      </c>
      <c r="C337" t="s">
        <v>37</v>
      </c>
      <c r="D337">
        <v>152.9</v>
      </c>
      <c r="E337">
        <v>211.8</v>
      </c>
      <c r="F337">
        <v>164.5</v>
      </c>
      <c r="G337">
        <v>163.9</v>
      </c>
      <c r="H337">
        <v>199.5</v>
      </c>
      <c r="I337">
        <v>172.6</v>
      </c>
      <c r="J337">
        <v>166.2</v>
      </c>
      <c r="K337">
        <v>164.7</v>
      </c>
      <c r="L337">
        <v>119</v>
      </c>
      <c r="M337">
        <v>181.3</v>
      </c>
      <c r="N337">
        <v>166.2</v>
      </c>
      <c r="O337">
        <v>180.9</v>
      </c>
      <c r="P337">
        <v>170.8</v>
      </c>
      <c r="Q337">
        <v>193.9</v>
      </c>
      <c r="R337">
        <v>173.9</v>
      </c>
      <c r="S337">
        <v>166.5</v>
      </c>
      <c r="T337">
        <v>172.8</v>
      </c>
      <c r="U337">
        <v>167</v>
      </c>
      <c r="V337">
        <v>172.2</v>
      </c>
      <c r="W337">
        <v>164</v>
      </c>
      <c r="X337">
        <v>174</v>
      </c>
      <c r="Y337">
        <v>162.6</v>
      </c>
      <c r="Z337">
        <v>164.4</v>
      </c>
      <c r="AA337">
        <v>166.9</v>
      </c>
      <c r="AB337">
        <v>168.8</v>
      </c>
      <c r="AC337">
        <v>166.8</v>
      </c>
      <c r="AD337">
        <v>170.1</v>
      </c>
      <c r="AE337">
        <v>2214.3000000000002</v>
      </c>
      <c r="AF337">
        <v>842.7</v>
      </c>
      <c r="AG337">
        <v>174</v>
      </c>
      <c r="AH337">
        <v>503.2</v>
      </c>
    </row>
    <row r="338" spans="1:34" x14ac:dyDescent="0.35">
      <c r="A338" t="s">
        <v>30</v>
      </c>
      <c r="B338">
        <v>2022</v>
      </c>
      <c r="C338" t="s">
        <v>38</v>
      </c>
      <c r="D338">
        <v>152.9</v>
      </c>
      <c r="E338">
        <v>214.7</v>
      </c>
      <c r="F338">
        <v>161.4</v>
      </c>
      <c r="G338">
        <v>164.6</v>
      </c>
      <c r="H338">
        <v>209.9</v>
      </c>
      <c r="I338">
        <v>168</v>
      </c>
      <c r="J338">
        <v>160.4</v>
      </c>
      <c r="K338">
        <v>165</v>
      </c>
      <c r="L338">
        <v>118.9</v>
      </c>
      <c r="M338">
        <v>186.6</v>
      </c>
      <c r="N338">
        <v>173.2</v>
      </c>
      <c r="O338">
        <v>180.4</v>
      </c>
      <c r="P338">
        <v>170.8</v>
      </c>
      <c r="Q338">
        <v>192.9</v>
      </c>
      <c r="R338">
        <v>179.3</v>
      </c>
      <c r="S338">
        <v>177.2</v>
      </c>
      <c r="T338">
        <v>179</v>
      </c>
      <c r="U338" t="s">
        <v>32</v>
      </c>
      <c r="V338">
        <v>175.3</v>
      </c>
      <c r="W338">
        <v>168.9</v>
      </c>
      <c r="X338">
        <v>177.7</v>
      </c>
      <c r="Y338">
        <v>167.1</v>
      </c>
      <c r="Z338">
        <v>167.6</v>
      </c>
      <c r="AA338">
        <v>171.8</v>
      </c>
      <c r="AB338">
        <v>168.5</v>
      </c>
      <c r="AC338">
        <v>170.9</v>
      </c>
      <c r="AD338">
        <v>172.5</v>
      </c>
      <c r="AE338">
        <v>2226.8000000000002</v>
      </c>
      <c r="AF338">
        <v>874.40000000000009</v>
      </c>
      <c r="AG338">
        <v>177.7</v>
      </c>
      <c r="AH338">
        <v>344.20000000000005</v>
      </c>
    </row>
    <row r="339" spans="1:34" x14ac:dyDescent="0.35">
      <c r="A339" t="s">
        <v>33</v>
      </c>
      <c r="B339">
        <v>2022</v>
      </c>
      <c r="C339" t="s">
        <v>38</v>
      </c>
      <c r="D339">
        <v>156.69999999999999</v>
      </c>
      <c r="E339">
        <v>221.2</v>
      </c>
      <c r="F339">
        <v>164.1</v>
      </c>
      <c r="G339">
        <v>165.4</v>
      </c>
      <c r="H339">
        <v>189.5</v>
      </c>
      <c r="I339">
        <v>174.5</v>
      </c>
      <c r="J339">
        <v>203.2</v>
      </c>
      <c r="K339">
        <v>164.1</v>
      </c>
      <c r="L339">
        <v>121.2</v>
      </c>
      <c r="M339">
        <v>181.4</v>
      </c>
      <c r="N339">
        <v>158.5</v>
      </c>
      <c r="O339">
        <v>184.9</v>
      </c>
      <c r="P339">
        <v>177.5</v>
      </c>
      <c r="Q339">
        <v>197.5</v>
      </c>
      <c r="R339">
        <v>170</v>
      </c>
      <c r="S339">
        <v>155.9</v>
      </c>
      <c r="T339">
        <v>167.8</v>
      </c>
      <c r="U339">
        <v>167.5</v>
      </c>
      <c r="V339">
        <v>173.5</v>
      </c>
      <c r="W339">
        <v>161.1</v>
      </c>
      <c r="X339">
        <v>170.1</v>
      </c>
      <c r="Y339">
        <v>159.4</v>
      </c>
      <c r="Z339">
        <v>163.19999999999999</v>
      </c>
      <c r="AA339">
        <v>165.2</v>
      </c>
      <c r="AB339">
        <v>168.2</v>
      </c>
      <c r="AC339">
        <v>163.80000000000001</v>
      </c>
      <c r="AD339">
        <v>170.8</v>
      </c>
      <c r="AE339">
        <v>2262.2000000000003</v>
      </c>
      <c r="AF339">
        <v>818.3</v>
      </c>
      <c r="AG339">
        <v>170.1</v>
      </c>
      <c r="AH339">
        <v>502.1</v>
      </c>
    </row>
    <row r="340" spans="1:34" x14ac:dyDescent="0.35">
      <c r="A340" t="s">
        <v>34</v>
      </c>
      <c r="B340">
        <v>2022</v>
      </c>
      <c r="C340" t="s">
        <v>38</v>
      </c>
      <c r="D340">
        <v>154.1</v>
      </c>
      <c r="E340">
        <v>217</v>
      </c>
      <c r="F340">
        <v>162.4</v>
      </c>
      <c r="G340">
        <v>164.9</v>
      </c>
      <c r="H340">
        <v>202.4</v>
      </c>
      <c r="I340">
        <v>171</v>
      </c>
      <c r="J340">
        <v>174.9</v>
      </c>
      <c r="K340">
        <v>164.7</v>
      </c>
      <c r="L340">
        <v>119.7</v>
      </c>
      <c r="M340">
        <v>184.9</v>
      </c>
      <c r="N340">
        <v>167.1</v>
      </c>
      <c r="O340">
        <v>182.5</v>
      </c>
      <c r="P340">
        <v>173.3</v>
      </c>
      <c r="Q340">
        <v>194.1</v>
      </c>
      <c r="R340">
        <v>175.6</v>
      </c>
      <c r="S340">
        <v>168.4</v>
      </c>
      <c r="T340">
        <v>174.6</v>
      </c>
      <c r="U340">
        <v>167.5</v>
      </c>
      <c r="V340">
        <v>174.6</v>
      </c>
      <c r="W340">
        <v>165.2</v>
      </c>
      <c r="X340">
        <v>174.8</v>
      </c>
      <c r="Y340">
        <v>163</v>
      </c>
      <c r="Z340">
        <v>165.1</v>
      </c>
      <c r="AA340">
        <v>167.9</v>
      </c>
      <c r="AB340">
        <v>168.4</v>
      </c>
      <c r="AC340">
        <v>167.5</v>
      </c>
      <c r="AD340">
        <v>171.7</v>
      </c>
      <c r="AE340">
        <v>2238.9000000000005</v>
      </c>
      <c r="AF340">
        <v>849.5</v>
      </c>
      <c r="AG340">
        <v>174.8</v>
      </c>
      <c r="AH340">
        <v>507.3</v>
      </c>
    </row>
    <row r="341" spans="1:34" x14ac:dyDescent="0.35">
      <c r="A341" t="s">
        <v>30</v>
      </c>
      <c r="B341">
        <v>2022</v>
      </c>
      <c r="C341" t="s">
        <v>39</v>
      </c>
      <c r="D341">
        <v>153.80000000000001</v>
      </c>
      <c r="E341">
        <v>217.2</v>
      </c>
      <c r="F341">
        <v>169.6</v>
      </c>
      <c r="G341">
        <v>165.4</v>
      </c>
      <c r="H341">
        <v>208.1</v>
      </c>
      <c r="I341">
        <v>165.8</v>
      </c>
      <c r="J341">
        <v>167.3</v>
      </c>
      <c r="K341">
        <v>164.6</v>
      </c>
      <c r="L341">
        <v>119.1</v>
      </c>
      <c r="M341">
        <v>188.9</v>
      </c>
      <c r="N341">
        <v>174.2</v>
      </c>
      <c r="O341">
        <v>181.9</v>
      </c>
      <c r="P341">
        <v>172.4</v>
      </c>
      <c r="Q341">
        <v>192.9</v>
      </c>
      <c r="R341">
        <v>180.7</v>
      </c>
      <c r="S341">
        <v>178.7</v>
      </c>
      <c r="T341">
        <v>180.4</v>
      </c>
      <c r="U341" t="s">
        <v>32</v>
      </c>
      <c r="V341">
        <v>176.7</v>
      </c>
      <c r="W341">
        <v>170.3</v>
      </c>
      <c r="X341">
        <v>178.2</v>
      </c>
      <c r="Y341">
        <v>165.5</v>
      </c>
      <c r="Z341">
        <v>168</v>
      </c>
      <c r="AA341">
        <v>172.6</v>
      </c>
      <c r="AB341">
        <v>169.5</v>
      </c>
      <c r="AC341">
        <v>171</v>
      </c>
      <c r="AD341">
        <v>173.6</v>
      </c>
      <c r="AE341">
        <v>2248.3000000000002</v>
      </c>
      <c r="AF341">
        <v>877.9</v>
      </c>
      <c r="AG341">
        <v>178.2</v>
      </c>
      <c r="AH341">
        <v>347</v>
      </c>
    </row>
    <row r="342" spans="1:34" x14ac:dyDescent="0.35">
      <c r="A342" t="s">
        <v>33</v>
      </c>
      <c r="B342">
        <v>2022</v>
      </c>
      <c r="C342" t="s">
        <v>39</v>
      </c>
      <c r="D342">
        <v>157.5</v>
      </c>
      <c r="E342">
        <v>223.4</v>
      </c>
      <c r="F342">
        <v>172.8</v>
      </c>
      <c r="G342">
        <v>166.4</v>
      </c>
      <c r="H342">
        <v>188.6</v>
      </c>
      <c r="I342">
        <v>174.1</v>
      </c>
      <c r="J342">
        <v>211.5</v>
      </c>
      <c r="K342">
        <v>163.6</v>
      </c>
      <c r="L342">
        <v>121.4</v>
      </c>
      <c r="M342">
        <v>183.5</v>
      </c>
      <c r="N342">
        <v>159.1</v>
      </c>
      <c r="O342">
        <v>186.3</v>
      </c>
      <c r="P342">
        <v>179.3</v>
      </c>
      <c r="Q342">
        <v>198.3</v>
      </c>
      <c r="R342">
        <v>171.6</v>
      </c>
      <c r="S342">
        <v>157.4</v>
      </c>
      <c r="T342">
        <v>169.4</v>
      </c>
      <c r="U342">
        <v>166.8</v>
      </c>
      <c r="V342">
        <v>174.9</v>
      </c>
      <c r="W342">
        <v>162.1</v>
      </c>
      <c r="X342">
        <v>170.9</v>
      </c>
      <c r="Y342">
        <v>157.19999999999999</v>
      </c>
      <c r="Z342">
        <v>164.1</v>
      </c>
      <c r="AA342">
        <v>166.5</v>
      </c>
      <c r="AB342">
        <v>169.2</v>
      </c>
      <c r="AC342">
        <v>163.80000000000001</v>
      </c>
      <c r="AD342">
        <v>171.4</v>
      </c>
      <c r="AE342">
        <v>2287.5</v>
      </c>
      <c r="AF342">
        <v>822.09999999999991</v>
      </c>
      <c r="AG342">
        <v>170.9</v>
      </c>
      <c r="AH342">
        <v>503.80000000000007</v>
      </c>
    </row>
    <row r="343" spans="1:34" x14ac:dyDescent="0.35">
      <c r="A343" t="s">
        <v>34</v>
      </c>
      <c r="B343">
        <v>2022</v>
      </c>
      <c r="C343" t="s">
        <v>39</v>
      </c>
      <c r="D343">
        <v>155</v>
      </c>
      <c r="E343">
        <v>219.4</v>
      </c>
      <c r="F343">
        <v>170.8</v>
      </c>
      <c r="G343">
        <v>165.8</v>
      </c>
      <c r="H343">
        <v>200.9</v>
      </c>
      <c r="I343">
        <v>169.7</v>
      </c>
      <c r="J343">
        <v>182.3</v>
      </c>
      <c r="K343">
        <v>164.3</v>
      </c>
      <c r="L343">
        <v>119.9</v>
      </c>
      <c r="M343">
        <v>187.1</v>
      </c>
      <c r="N343">
        <v>167.9</v>
      </c>
      <c r="O343">
        <v>183.9</v>
      </c>
      <c r="P343">
        <v>174.9</v>
      </c>
      <c r="Q343">
        <v>194.3</v>
      </c>
      <c r="R343">
        <v>177.1</v>
      </c>
      <c r="S343">
        <v>169.9</v>
      </c>
      <c r="T343">
        <v>176</v>
      </c>
      <c r="U343">
        <v>166.8</v>
      </c>
      <c r="V343">
        <v>176</v>
      </c>
      <c r="W343">
        <v>166.4</v>
      </c>
      <c r="X343">
        <v>175.4</v>
      </c>
      <c r="Y343">
        <v>161.1</v>
      </c>
      <c r="Z343">
        <v>165.8</v>
      </c>
      <c r="AA343">
        <v>169</v>
      </c>
      <c r="AB343">
        <v>169.4</v>
      </c>
      <c r="AC343">
        <v>167.5</v>
      </c>
      <c r="AD343">
        <v>172.6</v>
      </c>
      <c r="AE343">
        <v>2261.9</v>
      </c>
      <c r="AF343">
        <v>853.1</v>
      </c>
      <c r="AG343">
        <v>175.4</v>
      </c>
      <c r="AH343">
        <v>509.20000000000005</v>
      </c>
    </row>
    <row r="344" spans="1:34" x14ac:dyDescent="0.35">
      <c r="A344" t="s">
        <v>30</v>
      </c>
      <c r="B344">
        <v>2022</v>
      </c>
      <c r="C344" t="s">
        <v>40</v>
      </c>
      <c r="D344">
        <v>155.19999999999999</v>
      </c>
      <c r="E344">
        <v>210.8</v>
      </c>
      <c r="F344">
        <v>174.3</v>
      </c>
      <c r="G344">
        <v>166.3</v>
      </c>
      <c r="H344">
        <v>202.2</v>
      </c>
      <c r="I344">
        <v>169.6</v>
      </c>
      <c r="J344">
        <v>168.6</v>
      </c>
      <c r="K344">
        <v>164.4</v>
      </c>
      <c r="L344">
        <v>119.2</v>
      </c>
      <c r="M344">
        <v>191.8</v>
      </c>
      <c r="N344">
        <v>174.5</v>
      </c>
      <c r="O344">
        <v>183.1</v>
      </c>
      <c r="P344">
        <v>172.5</v>
      </c>
      <c r="Q344">
        <v>193.2</v>
      </c>
      <c r="R344">
        <v>182</v>
      </c>
      <c r="S344">
        <v>180.3</v>
      </c>
      <c r="T344">
        <v>181.7</v>
      </c>
      <c r="U344" t="s">
        <v>32</v>
      </c>
      <c r="V344">
        <v>179.6</v>
      </c>
      <c r="W344">
        <v>171.3</v>
      </c>
      <c r="X344">
        <v>178.8</v>
      </c>
      <c r="Y344">
        <v>166.3</v>
      </c>
      <c r="Z344">
        <v>168.6</v>
      </c>
      <c r="AA344">
        <v>174.7</v>
      </c>
      <c r="AB344">
        <v>169.7</v>
      </c>
      <c r="AC344">
        <v>171.8</v>
      </c>
      <c r="AD344">
        <v>174.3</v>
      </c>
      <c r="AE344">
        <v>2252.5</v>
      </c>
      <c r="AF344">
        <v>885</v>
      </c>
      <c r="AG344">
        <v>178.8</v>
      </c>
      <c r="AH344">
        <v>350.9</v>
      </c>
    </row>
    <row r="345" spans="1:34" x14ac:dyDescent="0.35">
      <c r="A345" t="s">
        <v>33</v>
      </c>
      <c r="B345">
        <v>2022</v>
      </c>
      <c r="C345" t="s">
        <v>40</v>
      </c>
      <c r="D345">
        <v>159.30000000000001</v>
      </c>
      <c r="E345">
        <v>217.1</v>
      </c>
      <c r="F345">
        <v>176.6</v>
      </c>
      <c r="G345">
        <v>167.1</v>
      </c>
      <c r="H345">
        <v>184.8</v>
      </c>
      <c r="I345">
        <v>179.5</v>
      </c>
      <c r="J345">
        <v>208.5</v>
      </c>
      <c r="K345">
        <v>164</v>
      </c>
      <c r="L345">
        <v>121.5</v>
      </c>
      <c r="M345">
        <v>186.3</v>
      </c>
      <c r="N345">
        <v>159.80000000000001</v>
      </c>
      <c r="O345">
        <v>187.7</v>
      </c>
      <c r="P345">
        <v>179.4</v>
      </c>
      <c r="Q345">
        <v>198.6</v>
      </c>
      <c r="R345">
        <v>172.7</v>
      </c>
      <c r="S345">
        <v>158.69999999999999</v>
      </c>
      <c r="T345">
        <v>170.6</v>
      </c>
      <c r="U345">
        <v>167.8</v>
      </c>
      <c r="V345">
        <v>179.5</v>
      </c>
      <c r="W345">
        <v>163.1</v>
      </c>
      <c r="X345">
        <v>171.7</v>
      </c>
      <c r="Y345">
        <v>157.4</v>
      </c>
      <c r="Z345">
        <v>164.6</v>
      </c>
      <c r="AA345">
        <v>169.1</v>
      </c>
      <c r="AB345">
        <v>169.8</v>
      </c>
      <c r="AC345">
        <v>164.7</v>
      </c>
      <c r="AD345">
        <v>172.3</v>
      </c>
      <c r="AE345">
        <v>2291.6</v>
      </c>
      <c r="AF345">
        <v>828.5</v>
      </c>
      <c r="AG345">
        <v>171.7</v>
      </c>
      <c r="AH345">
        <v>510.4</v>
      </c>
    </row>
    <row r="346" spans="1:34" x14ac:dyDescent="0.35">
      <c r="A346" t="s">
        <v>34</v>
      </c>
      <c r="B346">
        <v>2022</v>
      </c>
      <c r="C346" t="s">
        <v>40</v>
      </c>
      <c r="D346">
        <v>156.5</v>
      </c>
      <c r="E346">
        <v>213</v>
      </c>
      <c r="F346">
        <v>175.2</v>
      </c>
      <c r="G346">
        <v>166.6</v>
      </c>
      <c r="H346">
        <v>195.8</v>
      </c>
      <c r="I346">
        <v>174.2</v>
      </c>
      <c r="J346">
        <v>182.1</v>
      </c>
      <c r="K346">
        <v>164.3</v>
      </c>
      <c r="L346">
        <v>120</v>
      </c>
      <c r="M346">
        <v>190</v>
      </c>
      <c r="N346">
        <v>168.4</v>
      </c>
      <c r="O346">
        <v>185.2</v>
      </c>
      <c r="P346">
        <v>175</v>
      </c>
      <c r="Q346">
        <v>194.6</v>
      </c>
      <c r="R346">
        <v>178.3</v>
      </c>
      <c r="S346">
        <v>171.3</v>
      </c>
      <c r="T346">
        <v>177.3</v>
      </c>
      <c r="U346">
        <v>167.8</v>
      </c>
      <c r="V346">
        <v>179.6</v>
      </c>
      <c r="W346">
        <v>167.4</v>
      </c>
      <c r="X346">
        <v>176.1</v>
      </c>
      <c r="Y346">
        <v>161.6</v>
      </c>
      <c r="Z346">
        <v>166.3</v>
      </c>
      <c r="AA346">
        <v>171.4</v>
      </c>
      <c r="AB346">
        <v>169.7</v>
      </c>
      <c r="AC346">
        <v>168.4</v>
      </c>
      <c r="AD346">
        <v>173.4</v>
      </c>
      <c r="AE346">
        <v>2266.3000000000002</v>
      </c>
      <c r="AF346">
        <v>859.90000000000009</v>
      </c>
      <c r="AG346">
        <v>176.1</v>
      </c>
      <c r="AH346">
        <v>514.79999999999995</v>
      </c>
    </row>
    <row r="347" spans="1:34" x14ac:dyDescent="0.35">
      <c r="A347" t="s">
        <v>30</v>
      </c>
      <c r="B347">
        <v>2022</v>
      </c>
      <c r="C347" t="s">
        <v>41</v>
      </c>
      <c r="D347">
        <v>159.5</v>
      </c>
      <c r="E347">
        <v>204.1</v>
      </c>
      <c r="F347">
        <v>168.3</v>
      </c>
      <c r="G347">
        <v>167.9</v>
      </c>
      <c r="H347">
        <v>198.1</v>
      </c>
      <c r="I347">
        <v>169.2</v>
      </c>
      <c r="J347">
        <v>173.1</v>
      </c>
      <c r="K347">
        <v>167.1</v>
      </c>
      <c r="L347">
        <v>120.2</v>
      </c>
      <c r="M347">
        <v>195.6</v>
      </c>
      <c r="N347">
        <v>174.8</v>
      </c>
      <c r="O347">
        <v>184</v>
      </c>
      <c r="P347">
        <v>173.9</v>
      </c>
      <c r="Q347">
        <v>193.7</v>
      </c>
      <c r="R347">
        <v>183.2</v>
      </c>
      <c r="S347">
        <v>181.7</v>
      </c>
      <c r="T347">
        <v>183</v>
      </c>
      <c r="U347" t="s">
        <v>32</v>
      </c>
      <c r="V347">
        <v>179.1</v>
      </c>
      <c r="W347">
        <v>172.3</v>
      </c>
      <c r="X347">
        <v>179.4</v>
      </c>
      <c r="Y347">
        <v>166.6</v>
      </c>
      <c r="Z347">
        <v>169.3</v>
      </c>
      <c r="AA347">
        <v>175.7</v>
      </c>
      <c r="AB347">
        <v>171.1</v>
      </c>
      <c r="AC347">
        <v>172.6</v>
      </c>
      <c r="AD347">
        <v>175.3</v>
      </c>
      <c r="AE347">
        <v>2255.7999999999997</v>
      </c>
      <c r="AF347">
        <v>890.2</v>
      </c>
      <c r="AG347">
        <v>179.4</v>
      </c>
      <c r="AH347">
        <v>351.4</v>
      </c>
    </row>
    <row r="348" spans="1:34" x14ac:dyDescent="0.35">
      <c r="A348" t="s">
        <v>33</v>
      </c>
      <c r="B348">
        <v>2022</v>
      </c>
      <c r="C348" t="s">
        <v>41</v>
      </c>
      <c r="D348">
        <v>162.1</v>
      </c>
      <c r="E348">
        <v>210.9</v>
      </c>
      <c r="F348">
        <v>170.6</v>
      </c>
      <c r="G348">
        <v>168.4</v>
      </c>
      <c r="H348">
        <v>182.5</v>
      </c>
      <c r="I348">
        <v>177.1</v>
      </c>
      <c r="J348">
        <v>213.1</v>
      </c>
      <c r="K348">
        <v>167.3</v>
      </c>
      <c r="L348">
        <v>122.2</v>
      </c>
      <c r="M348">
        <v>189.7</v>
      </c>
      <c r="N348">
        <v>160.5</v>
      </c>
      <c r="O348">
        <v>188.9</v>
      </c>
      <c r="P348">
        <v>180.4</v>
      </c>
      <c r="Q348">
        <v>198.7</v>
      </c>
      <c r="R348">
        <v>173.7</v>
      </c>
      <c r="S348">
        <v>160</v>
      </c>
      <c r="T348">
        <v>171.6</v>
      </c>
      <c r="U348">
        <v>169</v>
      </c>
      <c r="V348">
        <v>178.4</v>
      </c>
      <c r="W348">
        <v>164.2</v>
      </c>
      <c r="X348">
        <v>172.6</v>
      </c>
      <c r="Y348">
        <v>157.69999999999999</v>
      </c>
      <c r="Z348">
        <v>165.1</v>
      </c>
      <c r="AA348">
        <v>169.9</v>
      </c>
      <c r="AB348">
        <v>171.4</v>
      </c>
      <c r="AC348">
        <v>165.4</v>
      </c>
      <c r="AD348">
        <v>173.1</v>
      </c>
      <c r="AE348">
        <v>2293.6999999999998</v>
      </c>
      <c r="AF348">
        <v>832.9</v>
      </c>
      <c r="AG348">
        <v>172.6</v>
      </c>
      <c r="AH348">
        <v>511.59999999999997</v>
      </c>
    </row>
    <row r="349" spans="1:34" x14ac:dyDescent="0.35">
      <c r="A349" t="s">
        <v>34</v>
      </c>
      <c r="B349">
        <v>2022</v>
      </c>
      <c r="C349" t="s">
        <v>41</v>
      </c>
      <c r="D349">
        <v>160.30000000000001</v>
      </c>
      <c r="E349">
        <v>206.5</v>
      </c>
      <c r="F349">
        <v>169.2</v>
      </c>
      <c r="G349">
        <v>168.1</v>
      </c>
      <c r="H349">
        <v>192.4</v>
      </c>
      <c r="I349">
        <v>172.9</v>
      </c>
      <c r="J349">
        <v>186.7</v>
      </c>
      <c r="K349">
        <v>167.2</v>
      </c>
      <c r="L349">
        <v>120.9</v>
      </c>
      <c r="M349">
        <v>193.6</v>
      </c>
      <c r="N349">
        <v>168.8</v>
      </c>
      <c r="O349">
        <v>186.3</v>
      </c>
      <c r="P349">
        <v>176.3</v>
      </c>
      <c r="Q349">
        <v>195</v>
      </c>
      <c r="R349">
        <v>179.5</v>
      </c>
      <c r="S349">
        <v>172.7</v>
      </c>
      <c r="T349">
        <v>178.5</v>
      </c>
      <c r="U349">
        <v>169</v>
      </c>
      <c r="V349">
        <v>178.8</v>
      </c>
      <c r="W349">
        <v>168.5</v>
      </c>
      <c r="X349">
        <v>176.8</v>
      </c>
      <c r="Y349">
        <v>161.9</v>
      </c>
      <c r="Z349">
        <v>166.9</v>
      </c>
      <c r="AA349">
        <v>172.3</v>
      </c>
      <c r="AB349">
        <v>171.2</v>
      </c>
      <c r="AC349">
        <v>169.1</v>
      </c>
      <c r="AD349">
        <v>174.3</v>
      </c>
      <c r="AE349">
        <v>2269.2000000000003</v>
      </c>
      <c r="AF349">
        <v>864.90000000000009</v>
      </c>
      <c r="AG349">
        <v>176.8</v>
      </c>
      <c r="AH349">
        <v>516.29999999999995</v>
      </c>
    </row>
    <row r="350" spans="1:34" x14ac:dyDescent="0.35">
      <c r="A350" t="s">
        <v>30</v>
      </c>
      <c r="B350">
        <v>2022</v>
      </c>
      <c r="C350" t="s">
        <v>42</v>
      </c>
      <c r="D350">
        <v>162.9</v>
      </c>
      <c r="E350">
        <v>206.7</v>
      </c>
      <c r="F350">
        <v>169</v>
      </c>
      <c r="G350">
        <v>169.5</v>
      </c>
      <c r="H350">
        <v>194.1</v>
      </c>
      <c r="I350">
        <v>164.1</v>
      </c>
      <c r="J350">
        <v>176.9</v>
      </c>
      <c r="K350">
        <v>169</v>
      </c>
      <c r="L350">
        <v>120.8</v>
      </c>
      <c r="M350">
        <v>199.1</v>
      </c>
      <c r="N350">
        <v>175.4</v>
      </c>
      <c r="O350">
        <v>184.8</v>
      </c>
      <c r="P350">
        <v>175.5</v>
      </c>
      <c r="Q350">
        <v>194.5</v>
      </c>
      <c r="R350">
        <v>184.7</v>
      </c>
      <c r="S350">
        <v>183.3</v>
      </c>
      <c r="T350">
        <v>184.5</v>
      </c>
      <c r="U350" t="s">
        <v>32</v>
      </c>
      <c r="V350">
        <v>179.7</v>
      </c>
      <c r="W350">
        <v>173.6</v>
      </c>
      <c r="X350">
        <v>180.2</v>
      </c>
      <c r="Y350">
        <v>166.9</v>
      </c>
      <c r="Z350">
        <v>170</v>
      </c>
      <c r="AA350">
        <v>176.2</v>
      </c>
      <c r="AB350">
        <v>170.8</v>
      </c>
      <c r="AC350">
        <v>173.1</v>
      </c>
      <c r="AD350">
        <v>176.4</v>
      </c>
      <c r="AE350">
        <v>2267.8000000000002</v>
      </c>
      <c r="AF350">
        <v>895.59999999999991</v>
      </c>
      <c r="AG350">
        <v>180.2</v>
      </c>
      <c r="AH350">
        <v>353.29999999999995</v>
      </c>
    </row>
    <row r="351" spans="1:34" x14ac:dyDescent="0.35">
      <c r="A351" t="s">
        <v>33</v>
      </c>
      <c r="B351">
        <v>2022</v>
      </c>
      <c r="C351" t="s">
        <v>42</v>
      </c>
      <c r="D351">
        <v>164.9</v>
      </c>
      <c r="E351">
        <v>213.7</v>
      </c>
      <c r="F351">
        <v>170.9</v>
      </c>
      <c r="G351">
        <v>170.1</v>
      </c>
      <c r="H351">
        <v>179.3</v>
      </c>
      <c r="I351">
        <v>167.5</v>
      </c>
      <c r="J351">
        <v>220.8</v>
      </c>
      <c r="K351">
        <v>169.2</v>
      </c>
      <c r="L351">
        <v>123.1</v>
      </c>
      <c r="M351">
        <v>193.6</v>
      </c>
      <c r="N351">
        <v>161.1</v>
      </c>
      <c r="O351">
        <v>190.4</v>
      </c>
      <c r="P351">
        <v>181.8</v>
      </c>
      <c r="Q351">
        <v>199.7</v>
      </c>
      <c r="R351">
        <v>175</v>
      </c>
      <c r="S351">
        <v>161.69999999999999</v>
      </c>
      <c r="T351">
        <v>173</v>
      </c>
      <c r="U351">
        <v>169.5</v>
      </c>
      <c r="V351">
        <v>179.2</v>
      </c>
      <c r="W351">
        <v>165</v>
      </c>
      <c r="X351">
        <v>173.8</v>
      </c>
      <c r="Y351">
        <v>158.19999999999999</v>
      </c>
      <c r="Z351">
        <v>165.8</v>
      </c>
      <c r="AA351">
        <v>170.9</v>
      </c>
      <c r="AB351">
        <v>171.1</v>
      </c>
      <c r="AC351">
        <v>166.1</v>
      </c>
      <c r="AD351">
        <v>174.1</v>
      </c>
      <c r="AE351">
        <v>2306.4</v>
      </c>
      <c r="AF351">
        <v>838.8</v>
      </c>
      <c r="AG351">
        <v>173.8</v>
      </c>
      <c r="AH351">
        <v>513.70000000000005</v>
      </c>
    </row>
    <row r="352" spans="1:34" x14ac:dyDescent="0.35">
      <c r="A352" t="s">
        <v>34</v>
      </c>
      <c r="B352">
        <v>2022</v>
      </c>
      <c r="C352" t="s">
        <v>42</v>
      </c>
      <c r="D352">
        <v>163.5</v>
      </c>
      <c r="E352">
        <v>209.2</v>
      </c>
      <c r="F352">
        <v>169.7</v>
      </c>
      <c r="G352">
        <v>169.7</v>
      </c>
      <c r="H352">
        <v>188.7</v>
      </c>
      <c r="I352">
        <v>165.7</v>
      </c>
      <c r="J352">
        <v>191.8</v>
      </c>
      <c r="K352">
        <v>169.1</v>
      </c>
      <c r="L352">
        <v>121.6</v>
      </c>
      <c r="M352">
        <v>197.3</v>
      </c>
      <c r="N352">
        <v>169.4</v>
      </c>
      <c r="O352">
        <v>187.4</v>
      </c>
      <c r="P352">
        <v>177.8</v>
      </c>
      <c r="Q352">
        <v>195.9</v>
      </c>
      <c r="R352">
        <v>180.9</v>
      </c>
      <c r="S352">
        <v>174.3</v>
      </c>
      <c r="T352">
        <v>179.9</v>
      </c>
      <c r="U352">
        <v>169.5</v>
      </c>
      <c r="V352">
        <v>179.5</v>
      </c>
      <c r="W352">
        <v>169.5</v>
      </c>
      <c r="X352">
        <v>177.8</v>
      </c>
      <c r="Y352">
        <v>162.30000000000001</v>
      </c>
      <c r="Z352">
        <v>167.6</v>
      </c>
      <c r="AA352">
        <v>173.1</v>
      </c>
      <c r="AB352">
        <v>170.9</v>
      </c>
      <c r="AC352">
        <v>169.7</v>
      </c>
      <c r="AD352">
        <v>175.3</v>
      </c>
      <c r="AE352">
        <v>2280.9</v>
      </c>
      <c r="AF352">
        <v>870.50000000000011</v>
      </c>
      <c r="AG352">
        <v>177.8</v>
      </c>
      <c r="AH352">
        <v>518.5</v>
      </c>
    </row>
    <row r="353" spans="1:34" x14ac:dyDescent="0.35">
      <c r="A353" t="s">
        <v>30</v>
      </c>
      <c r="B353">
        <v>2022</v>
      </c>
      <c r="C353" t="s">
        <v>43</v>
      </c>
      <c r="D353">
        <v>164.7</v>
      </c>
      <c r="E353">
        <v>208.8</v>
      </c>
      <c r="F353">
        <v>170.3</v>
      </c>
      <c r="G353">
        <v>170.9</v>
      </c>
      <c r="H353">
        <v>191.6</v>
      </c>
      <c r="I353">
        <v>162.19999999999999</v>
      </c>
      <c r="J353">
        <v>184.8</v>
      </c>
      <c r="K353">
        <v>169.7</v>
      </c>
      <c r="L353">
        <v>121.1</v>
      </c>
      <c r="M353">
        <v>201.6</v>
      </c>
      <c r="N353">
        <v>175.8</v>
      </c>
      <c r="O353">
        <v>185.6</v>
      </c>
      <c r="P353">
        <v>177.4</v>
      </c>
      <c r="Q353">
        <v>194.9</v>
      </c>
      <c r="R353">
        <v>186.1</v>
      </c>
      <c r="S353">
        <v>184.4</v>
      </c>
      <c r="T353">
        <v>185.9</v>
      </c>
      <c r="U353" t="s">
        <v>32</v>
      </c>
      <c r="V353">
        <v>180.8</v>
      </c>
      <c r="W353">
        <v>174.4</v>
      </c>
      <c r="X353">
        <v>181.2</v>
      </c>
      <c r="Y353">
        <v>167.4</v>
      </c>
      <c r="Z353">
        <v>170.6</v>
      </c>
      <c r="AA353">
        <v>176.5</v>
      </c>
      <c r="AB353">
        <v>172</v>
      </c>
      <c r="AC353">
        <v>173.9</v>
      </c>
      <c r="AD353">
        <v>177.9</v>
      </c>
      <c r="AE353">
        <v>2284.5</v>
      </c>
      <c r="AF353">
        <v>900.3</v>
      </c>
      <c r="AG353">
        <v>181.2</v>
      </c>
      <c r="AH353">
        <v>355.20000000000005</v>
      </c>
    </row>
    <row r="354" spans="1:34" x14ac:dyDescent="0.35">
      <c r="A354" t="s">
        <v>33</v>
      </c>
      <c r="B354">
        <v>2022</v>
      </c>
      <c r="C354" t="s">
        <v>43</v>
      </c>
      <c r="D354">
        <v>166.4</v>
      </c>
      <c r="E354">
        <v>214.9</v>
      </c>
      <c r="F354">
        <v>171.9</v>
      </c>
      <c r="G354">
        <v>171</v>
      </c>
      <c r="H354">
        <v>177.7</v>
      </c>
      <c r="I354">
        <v>165.7</v>
      </c>
      <c r="J354">
        <v>228.6</v>
      </c>
      <c r="K354">
        <v>169.9</v>
      </c>
      <c r="L354">
        <v>123.4</v>
      </c>
      <c r="M354">
        <v>196.4</v>
      </c>
      <c r="N354">
        <v>161.6</v>
      </c>
      <c r="O354">
        <v>191.5</v>
      </c>
      <c r="P354">
        <v>183.3</v>
      </c>
      <c r="Q354">
        <v>200.1</v>
      </c>
      <c r="R354">
        <v>175.5</v>
      </c>
      <c r="S354">
        <v>162.6</v>
      </c>
      <c r="T354">
        <v>173.6</v>
      </c>
      <c r="U354">
        <v>171.2</v>
      </c>
      <c r="V354">
        <v>180</v>
      </c>
      <c r="W354">
        <v>166</v>
      </c>
      <c r="X354">
        <v>174.7</v>
      </c>
      <c r="Y354">
        <v>158.80000000000001</v>
      </c>
      <c r="Z354">
        <v>166.3</v>
      </c>
      <c r="AA354">
        <v>171.2</v>
      </c>
      <c r="AB354">
        <v>172.3</v>
      </c>
      <c r="AC354">
        <v>166.8</v>
      </c>
      <c r="AD354">
        <v>175.3</v>
      </c>
      <c r="AE354">
        <v>2322.3000000000002</v>
      </c>
      <c r="AF354">
        <v>841.7</v>
      </c>
      <c r="AG354">
        <v>174.7</v>
      </c>
      <c r="AH354">
        <v>517.20000000000005</v>
      </c>
    </row>
    <row r="355" spans="1:34" x14ac:dyDescent="0.35">
      <c r="A355" t="s">
        <v>34</v>
      </c>
      <c r="B355">
        <v>2022</v>
      </c>
      <c r="C355" t="s">
        <v>43</v>
      </c>
      <c r="D355">
        <v>165.2</v>
      </c>
      <c r="E355">
        <v>210.9</v>
      </c>
      <c r="F355">
        <v>170.9</v>
      </c>
      <c r="G355">
        <v>170.9</v>
      </c>
      <c r="H355">
        <v>186.5</v>
      </c>
      <c r="I355">
        <v>163.80000000000001</v>
      </c>
      <c r="J355">
        <v>199.7</v>
      </c>
      <c r="K355">
        <v>169.8</v>
      </c>
      <c r="L355">
        <v>121.9</v>
      </c>
      <c r="M355">
        <v>199.9</v>
      </c>
      <c r="N355">
        <v>169.9</v>
      </c>
      <c r="O355">
        <v>188.3</v>
      </c>
      <c r="P355">
        <v>179.6</v>
      </c>
      <c r="Q355">
        <v>196.3</v>
      </c>
      <c r="R355">
        <v>181.9</v>
      </c>
      <c r="S355">
        <v>175.3</v>
      </c>
      <c r="T355">
        <v>181</v>
      </c>
      <c r="U355">
        <v>171.2</v>
      </c>
      <c r="V355">
        <v>180.5</v>
      </c>
      <c r="W355">
        <v>170.4</v>
      </c>
      <c r="X355">
        <v>178.7</v>
      </c>
      <c r="Y355">
        <v>162.9</v>
      </c>
      <c r="Z355">
        <v>168.2</v>
      </c>
      <c r="AA355">
        <v>173.4</v>
      </c>
      <c r="AB355">
        <v>172.1</v>
      </c>
      <c r="AC355">
        <v>170.5</v>
      </c>
      <c r="AD355">
        <v>176.7</v>
      </c>
      <c r="AE355">
        <v>2297.3000000000002</v>
      </c>
      <c r="AF355">
        <v>874.5</v>
      </c>
      <c r="AG355">
        <v>178.7</v>
      </c>
      <c r="AH355">
        <v>522.1</v>
      </c>
    </row>
    <row r="356" spans="1:34" x14ac:dyDescent="0.35">
      <c r="A356" t="s">
        <v>30</v>
      </c>
      <c r="B356">
        <v>2022</v>
      </c>
      <c r="C356" t="s">
        <v>45</v>
      </c>
      <c r="D356">
        <v>166.9</v>
      </c>
      <c r="E356">
        <v>207.2</v>
      </c>
      <c r="F356">
        <v>180.2</v>
      </c>
      <c r="G356">
        <v>172.3</v>
      </c>
      <c r="H356">
        <v>194</v>
      </c>
      <c r="I356">
        <v>159.1</v>
      </c>
      <c r="J356">
        <v>171.6</v>
      </c>
      <c r="K356">
        <v>170.2</v>
      </c>
      <c r="L356">
        <v>121.5</v>
      </c>
      <c r="M356">
        <v>204.8</v>
      </c>
      <c r="N356">
        <v>176.4</v>
      </c>
      <c r="O356">
        <v>186.9</v>
      </c>
      <c r="P356">
        <v>176.6</v>
      </c>
      <c r="Q356">
        <v>195.5</v>
      </c>
      <c r="R356">
        <v>187.2</v>
      </c>
      <c r="S356">
        <v>185.2</v>
      </c>
      <c r="T356">
        <v>186.9</v>
      </c>
      <c r="U356" t="s">
        <v>32</v>
      </c>
      <c r="V356">
        <v>181.9</v>
      </c>
      <c r="W356">
        <v>175.5</v>
      </c>
      <c r="X356">
        <v>182.3</v>
      </c>
      <c r="Y356">
        <v>167.5</v>
      </c>
      <c r="Z356">
        <v>170.8</v>
      </c>
      <c r="AA356">
        <v>176.9</v>
      </c>
      <c r="AB356">
        <v>173.4</v>
      </c>
      <c r="AC356">
        <v>174.6</v>
      </c>
      <c r="AD356">
        <v>177.8</v>
      </c>
      <c r="AE356">
        <v>2287.6999999999998</v>
      </c>
      <c r="AF356">
        <v>903.69999999999993</v>
      </c>
      <c r="AG356">
        <v>182.3</v>
      </c>
      <c r="AH356">
        <v>357.4</v>
      </c>
    </row>
    <row r="357" spans="1:34" x14ac:dyDescent="0.35">
      <c r="A357" t="s">
        <v>33</v>
      </c>
      <c r="B357">
        <v>2022</v>
      </c>
      <c r="C357" t="s">
        <v>45</v>
      </c>
      <c r="D357">
        <v>168.4</v>
      </c>
      <c r="E357">
        <v>213.4</v>
      </c>
      <c r="F357">
        <v>183.2</v>
      </c>
      <c r="G357">
        <v>172.3</v>
      </c>
      <c r="H357">
        <v>180</v>
      </c>
      <c r="I357">
        <v>162.6</v>
      </c>
      <c r="J357">
        <v>205.5</v>
      </c>
      <c r="K357">
        <v>171</v>
      </c>
      <c r="L357">
        <v>123.4</v>
      </c>
      <c r="M357">
        <v>198.8</v>
      </c>
      <c r="N357">
        <v>162.1</v>
      </c>
      <c r="O357">
        <v>192.4</v>
      </c>
      <c r="P357">
        <v>181.3</v>
      </c>
      <c r="Q357">
        <v>200.6</v>
      </c>
      <c r="R357">
        <v>176.7</v>
      </c>
      <c r="S357">
        <v>163.5</v>
      </c>
      <c r="T357">
        <v>174.7</v>
      </c>
      <c r="U357">
        <v>171.8</v>
      </c>
      <c r="V357">
        <v>180.3</v>
      </c>
      <c r="W357">
        <v>166.9</v>
      </c>
      <c r="X357">
        <v>175.8</v>
      </c>
      <c r="Y357">
        <v>158.9</v>
      </c>
      <c r="Z357">
        <v>166.7</v>
      </c>
      <c r="AA357">
        <v>171.5</v>
      </c>
      <c r="AB357">
        <v>173.8</v>
      </c>
      <c r="AC357">
        <v>167.4</v>
      </c>
      <c r="AD357">
        <v>174.1</v>
      </c>
      <c r="AE357">
        <v>2314.4</v>
      </c>
      <c r="AF357">
        <v>845.3</v>
      </c>
      <c r="AG357">
        <v>175.8</v>
      </c>
      <c r="AH357">
        <v>519</v>
      </c>
    </row>
    <row r="358" spans="1:34" x14ac:dyDescent="0.35">
      <c r="A358" t="s">
        <v>34</v>
      </c>
      <c r="B358">
        <v>2022</v>
      </c>
      <c r="C358" t="s">
        <v>45</v>
      </c>
      <c r="D358">
        <v>167.4</v>
      </c>
      <c r="E358">
        <v>209.4</v>
      </c>
      <c r="F358">
        <v>181.4</v>
      </c>
      <c r="G358">
        <v>172.3</v>
      </c>
      <c r="H358">
        <v>188.9</v>
      </c>
      <c r="I358">
        <v>160.69999999999999</v>
      </c>
      <c r="J358">
        <v>183.1</v>
      </c>
      <c r="K358">
        <v>170.5</v>
      </c>
      <c r="L358">
        <v>122.1</v>
      </c>
      <c r="M358">
        <v>202.8</v>
      </c>
      <c r="N358">
        <v>170.4</v>
      </c>
      <c r="O358">
        <v>189.5</v>
      </c>
      <c r="P358">
        <v>178.3</v>
      </c>
      <c r="Q358">
        <v>196.9</v>
      </c>
      <c r="R358">
        <v>183.1</v>
      </c>
      <c r="S358">
        <v>176.2</v>
      </c>
      <c r="T358">
        <v>182.1</v>
      </c>
      <c r="U358">
        <v>171.8</v>
      </c>
      <c r="V358">
        <v>181.3</v>
      </c>
      <c r="W358">
        <v>171.4</v>
      </c>
      <c r="X358">
        <v>179.8</v>
      </c>
      <c r="Y358">
        <v>163</v>
      </c>
      <c r="Z358">
        <v>168.5</v>
      </c>
      <c r="AA358">
        <v>173.7</v>
      </c>
      <c r="AB358">
        <v>173.6</v>
      </c>
      <c r="AC358">
        <v>171.1</v>
      </c>
      <c r="AD358">
        <v>176.5</v>
      </c>
      <c r="AE358">
        <v>2296.8000000000002</v>
      </c>
      <c r="AF358">
        <v>878.09999999999991</v>
      </c>
      <c r="AG358">
        <v>179.8</v>
      </c>
      <c r="AH358">
        <v>524.5</v>
      </c>
    </row>
    <row r="359" spans="1:34" x14ac:dyDescent="0.35">
      <c r="A359" t="s">
        <v>30</v>
      </c>
      <c r="B359">
        <v>2022</v>
      </c>
      <c r="C359" t="s">
        <v>46</v>
      </c>
      <c r="D359">
        <v>168.8</v>
      </c>
      <c r="E359">
        <v>206.9</v>
      </c>
      <c r="F359">
        <v>189.1</v>
      </c>
      <c r="G359">
        <v>173.4</v>
      </c>
      <c r="H359">
        <v>193.9</v>
      </c>
      <c r="I359">
        <v>156.69999999999999</v>
      </c>
      <c r="J359">
        <v>150.19999999999999</v>
      </c>
      <c r="K359">
        <v>170.5</v>
      </c>
      <c r="L359">
        <v>121.2</v>
      </c>
      <c r="M359">
        <v>207.5</v>
      </c>
      <c r="N359">
        <v>176.8</v>
      </c>
      <c r="O359">
        <v>187.7</v>
      </c>
      <c r="P359">
        <v>174.4</v>
      </c>
      <c r="Q359">
        <v>195.9</v>
      </c>
      <c r="R359">
        <v>188.1</v>
      </c>
      <c r="S359">
        <v>185.9</v>
      </c>
      <c r="T359">
        <v>187.8</v>
      </c>
      <c r="U359" t="s">
        <v>32</v>
      </c>
      <c r="V359">
        <v>182.8</v>
      </c>
      <c r="W359">
        <v>176.4</v>
      </c>
      <c r="X359">
        <v>183.5</v>
      </c>
      <c r="Y359">
        <v>167.8</v>
      </c>
      <c r="Z359">
        <v>171.2</v>
      </c>
      <c r="AA359">
        <v>177.3</v>
      </c>
      <c r="AB359">
        <v>175.7</v>
      </c>
      <c r="AC359">
        <v>175.5</v>
      </c>
      <c r="AD359">
        <v>177.1</v>
      </c>
      <c r="AE359">
        <v>2277.1</v>
      </c>
      <c r="AF359">
        <v>906.89999999999986</v>
      </c>
      <c r="AG359">
        <v>183.5</v>
      </c>
      <c r="AH359">
        <v>359.20000000000005</v>
      </c>
    </row>
    <row r="360" spans="1:34" x14ac:dyDescent="0.35">
      <c r="A360" t="s">
        <v>33</v>
      </c>
      <c r="B360">
        <v>2022</v>
      </c>
      <c r="C360" t="s">
        <v>46</v>
      </c>
      <c r="D360">
        <v>170.2</v>
      </c>
      <c r="E360">
        <v>212.9</v>
      </c>
      <c r="F360">
        <v>191.9</v>
      </c>
      <c r="G360">
        <v>173.9</v>
      </c>
      <c r="H360">
        <v>179.1</v>
      </c>
      <c r="I360">
        <v>159.5</v>
      </c>
      <c r="J360">
        <v>178.7</v>
      </c>
      <c r="K360">
        <v>171.3</v>
      </c>
      <c r="L360">
        <v>123.1</v>
      </c>
      <c r="M360">
        <v>200.5</v>
      </c>
      <c r="N360">
        <v>162.80000000000001</v>
      </c>
      <c r="O360">
        <v>193.3</v>
      </c>
      <c r="P360">
        <v>178.6</v>
      </c>
      <c r="Q360">
        <v>201.1</v>
      </c>
      <c r="R360">
        <v>177.7</v>
      </c>
      <c r="S360">
        <v>164.5</v>
      </c>
      <c r="T360">
        <v>175.7</v>
      </c>
      <c r="U360">
        <v>170.7</v>
      </c>
      <c r="V360">
        <v>180.6</v>
      </c>
      <c r="W360">
        <v>167.3</v>
      </c>
      <c r="X360">
        <v>177.2</v>
      </c>
      <c r="Y360">
        <v>159.4</v>
      </c>
      <c r="Z360">
        <v>167.1</v>
      </c>
      <c r="AA360">
        <v>171.8</v>
      </c>
      <c r="AB360">
        <v>176</v>
      </c>
      <c r="AC360">
        <v>168.2</v>
      </c>
      <c r="AD360">
        <v>174.1</v>
      </c>
      <c r="AE360">
        <v>2295.7999999999997</v>
      </c>
      <c r="AF360">
        <v>849.09999999999991</v>
      </c>
      <c r="AG360">
        <v>177.2</v>
      </c>
      <c r="AH360">
        <v>518.59999999999991</v>
      </c>
    </row>
    <row r="361" spans="1:34" x14ac:dyDescent="0.35">
      <c r="A361" t="s">
        <v>34</v>
      </c>
      <c r="B361">
        <v>2022</v>
      </c>
      <c r="C361" t="s">
        <v>46</v>
      </c>
      <c r="D361">
        <v>169.2</v>
      </c>
      <c r="E361">
        <v>209</v>
      </c>
      <c r="F361">
        <v>190.2</v>
      </c>
      <c r="G361">
        <v>173.6</v>
      </c>
      <c r="H361">
        <v>188.5</v>
      </c>
      <c r="I361">
        <v>158</v>
      </c>
      <c r="J361">
        <v>159.9</v>
      </c>
      <c r="K361">
        <v>170.8</v>
      </c>
      <c r="L361">
        <v>121.8</v>
      </c>
      <c r="M361">
        <v>205.2</v>
      </c>
      <c r="N361">
        <v>171</v>
      </c>
      <c r="O361">
        <v>190.3</v>
      </c>
      <c r="P361">
        <v>175.9</v>
      </c>
      <c r="Q361">
        <v>197.3</v>
      </c>
      <c r="R361">
        <v>184</v>
      </c>
      <c r="S361">
        <v>177</v>
      </c>
      <c r="T361">
        <v>183</v>
      </c>
      <c r="U361">
        <v>170.7</v>
      </c>
      <c r="V361">
        <v>182</v>
      </c>
      <c r="W361">
        <v>172.1</v>
      </c>
      <c r="X361">
        <v>181.1</v>
      </c>
      <c r="Y361">
        <v>163.4</v>
      </c>
      <c r="Z361">
        <v>168.9</v>
      </c>
      <c r="AA361">
        <v>174.1</v>
      </c>
      <c r="AB361">
        <v>175.8</v>
      </c>
      <c r="AC361">
        <v>172</v>
      </c>
      <c r="AD361">
        <v>175.7</v>
      </c>
      <c r="AE361">
        <v>2283.4</v>
      </c>
      <c r="AF361">
        <v>881.5</v>
      </c>
      <c r="AG361">
        <v>181.1</v>
      </c>
      <c r="AH361">
        <v>524.79999999999995</v>
      </c>
    </row>
    <row r="362" spans="1:34" x14ac:dyDescent="0.35">
      <c r="A362" t="s">
        <v>30</v>
      </c>
      <c r="B362">
        <v>2023</v>
      </c>
      <c r="C362" t="s">
        <v>31</v>
      </c>
      <c r="D362">
        <v>174</v>
      </c>
      <c r="E362">
        <v>208.3</v>
      </c>
      <c r="F362">
        <v>192.9</v>
      </c>
      <c r="G362">
        <v>174.3</v>
      </c>
      <c r="H362">
        <v>192.6</v>
      </c>
      <c r="I362">
        <v>156.30000000000001</v>
      </c>
      <c r="J362">
        <v>142.9</v>
      </c>
      <c r="K362">
        <v>170.7</v>
      </c>
      <c r="L362">
        <v>120.3</v>
      </c>
      <c r="M362">
        <v>210.5</v>
      </c>
      <c r="N362">
        <v>176.9</v>
      </c>
      <c r="O362">
        <v>188.5</v>
      </c>
      <c r="P362">
        <v>175</v>
      </c>
      <c r="Q362">
        <v>196.9</v>
      </c>
      <c r="R362">
        <v>189</v>
      </c>
      <c r="S362">
        <v>186.3</v>
      </c>
      <c r="T362">
        <v>188.6</v>
      </c>
      <c r="U362" t="s">
        <v>32</v>
      </c>
      <c r="V362">
        <v>183.2</v>
      </c>
      <c r="W362">
        <v>177.2</v>
      </c>
      <c r="X362">
        <v>184.7</v>
      </c>
      <c r="Y362">
        <v>168.2</v>
      </c>
      <c r="Z362">
        <v>171.8</v>
      </c>
      <c r="AA362">
        <v>177.8</v>
      </c>
      <c r="AB362">
        <v>178.4</v>
      </c>
      <c r="AC362">
        <v>176.5</v>
      </c>
      <c r="AD362">
        <v>177.8</v>
      </c>
      <c r="AE362">
        <v>2283.2000000000003</v>
      </c>
      <c r="AF362">
        <v>909.89999999999986</v>
      </c>
      <c r="AG362">
        <v>184.7</v>
      </c>
      <c r="AH362">
        <v>360.4</v>
      </c>
    </row>
    <row r="363" spans="1:34" x14ac:dyDescent="0.35">
      <c r="A363" t="s">
        <v>33</v>
      </c>
      <c r="B363">
        <v>2023</v>
      </c>
      <c r="C363" t="s">
        <v>31</v>
      </c>
      <c r="D363">
        <v>173.3</v>
      </c>
      <c r="E363">
        <v>215.2</v>
      </c>
      <c r="F363">
        <v>197</v>
      </c>
      <c r="G363">
        <v>175.2</v>
      </c>
      <c r="H363">
        <v>178</v>
      </c>
      <c r="I363">
        <v>160.5</v>
      </c>
      <c r="J363">
        <v>175.3</v>
      </c>
      <c r="K363">
        <v>171.2</v>
      </c>
      <c r="L363">
        <v>122.7</v>
      </c>
      <c r="M363">
        <v>204.3</v>
      </c>
      <c r="N363">
        <v>163.69999999999999</v>
      </c>
      <c r="O363">
        <v>194.3</v>
      </c>
      <c r="P363">
        <v>179.5</v>
      </c>
      <c r="Q363">
        <v>201.6</v>
      </c>
      <c r="R363">
        <v>178.7</v>
      </c>
      <c r="S363">
        <v>165.3</v>
      </c>
      <c r="T363">
        <v>176.6</v>
      </c>
      <c r="U363">
        <v>172.1</v>
      </c>
      <c r="V363">
        <v>180.1</v>
      </c>
      <c r="W363">
        <v>168</v>
      </c>
      <c r="X363">
        <v>178.5</v>
      </c>
      <c r="Y363">
        <v>159.5</v>
      </c>
      <c r="Z363">
        <v>167.8</v>
      </c>
      <c r="AA363">
        <v>171.8</v>
      </c>
      <c r="AB363">
        <v>178.8</v>
      </c>
      <c r="AC363">
        <v>168.9</v>
      </c>
      <c r="AD363">
        <v>174.9</v>
      </c>
      <c r="AE363">
        <v>2310.2000000000003</v>
      </c>
      <c r="AF363">
        <v>851.90000000000009</v>
      </c>
      <c r="AG363">
        <v>178.5</v>
      </c>
      <c r="AH363">
        <v>520.20000000000005</v>
      </c>
    </row>
    <row r="364" spans="1:34" x14ac:dyDescent="0.35">
      <c r="A364" t="s">
        <v>34</v>
      </c>
      <c r="B364">
        <v>2023</v>
      </c>
      <c r="C364" t="s">
        <v>31</v>
      </c>
      <c r="D364">
        <v>173.8</v>
      </c>
      <c r="E364">
        <v>210.7</v>
      </c>
      <c r="F364">
        <v>194.5</v>
      </c>
      <c r="G364">
        <v>174.6</v>
      </c>
      <c r="H364">
        <v>187.2</v>
      </c>
      <c r="I364">
        <v>158.30000000000001</v>
      </c>
      <c r="J364">
        <v>153.9</v>
      </c>
      <c r="K364">
        <v>170.9</v>
      </c>
      <c r="L364">
        <v>121.1</v>
      </c>
      <c r="M364">
        <v>208.4</v>
      </c>
      <c r="N364">
        <v>171.4</v>
      </c>
      <c r="O364">
        <v>191.2</v>
      </c>
      <c r="P364">
        <v>176.7</v>
      </c>
      <c r="Q364">
        <v>198.2</v>
      </c>
      <c r="R364">
        <v>184.9</v>
      </c>
      <c r="S364">
        <v>177.6</v>
      </c>
      <c r="T364">
        <v>183.8</v>
      </c>
      <c r="U364">
        <v>172.1</v>
      </c>
      <c r="V364">
        <v>182</v>
      </c>
      <c r="W364">
        <v>172.9</v>
      </c>
      <c r="X364">
        <v>182.3</v>
      </c>
      <c r="Y364">
        <v>163.6</v>
      </c>
      <c r="Z364">
        <v>169.5</v>
      </c>
      <c r="AA364">
        <v>174.3</v>
      </c>
      <c r="AB364">
        <v>178.6</v>
      </c>
      <c r="AC364">
        <v>172.8</v>
      </c>
      <c r="AD364">
        <v>176.5</v>
      </c>
      <c r="AE364">
        <v>2292.6999999999998</v>
      </c>
      <c r="AF364">
        <v>884.2</v>
      </c>
      <c r="AG364">
        <v>182.3</v>
      </c>
      <c r="AH364">
        <v>527</v>
      </c>
    </row>
    <row r="365" spans="1:34" x14ac:dyDescent="0.35">
      <c r="A365" t="s">
        <v>30</v>
      </c>
      <c r="B365">
        <v>2023</v>
      </c>
      <c r="C365" t="s">
        <v>35</v>
      </c>
      <c r="D365">
        <v>174.2</v>
      </c>
      <c r="E365">
        <v>205.2</v>
      </c>
      <c r="F365">
        <v>173.9</v>
      </c>
      <c r="G365">
        <v>177</v>
      </c>
      <c r="H365">
        <v>183.4</v>
      </c>
      <c r="I365">
        <v>167.2</v>
      </c>
      <c r="J365">
        <v>140.9</v>
      </c>
      <c r="K365">
        <v>170.4</v>
      </c>
      <c r="L365">
        <v>119.1</v>
      </c>
      <c r="M365">
        <v>212.1</v>
      </c>
      <c r="N365">
        <v>177.6</v>
      </c>
      <c r="O365">
        <v>189.9</v>
      </c>
      <c r="P365">
        <v>174.8</v>
      </c>
      <c r="Q365">
        <v>198.3</v>
      </c>
      <c r="R365">
        <v>190</v>
      </c>
      <c r="S365">
        <v>187</v>
      </c>
      <c r="T365">
        <v>189.6</v>
      </c>
      <c r="U365" t="s">
        <v>32</v>
      </c>
      <c r="V365">
        <v>181.6</v>
      </c>
      <c r="W365">
        <v>178.6</v>
      </c>
      <c r="X365">
        <v>186.6</v>
      </c>
      <c r="Y365">
        <v>169</v>
      </c>
      <c r="Z365">
        <v>172.8</v>
      </c>
      <c r="AA365">
        <v>178.5</v>
      </c>
      <c r="AB365">
        <v>180.7</v>
      </c>
      <c r="AC365">
        <v>177.9</v>
      </c>
      <c r="AD365">
        <v>178</v>
      </c>
      <c r="AE365">
        <v>2265.6999999999998</v>
      </c>
      <c r="AF365">
        <v>914.1</v>
      </c>
      <c r="AG365">
        <v>186.6</v>
      </c>
      <c r="AH365">
        <v>360.2</v>
      </c>
    </row>
    <row r="366" spans="1:34" x14ac:dyDescent="0.35">
      <c r="A366" t="s">
        <v>33</v>
      </c>
      <c r="B366">
        <v>2023</v>
      </c>
      <c r="C366" t="s">
        <v>35</v>
      </c>
      <c r="D366">
        <v>174.7</v>
      </c>
      <c r="E366">
        <v>212.2</v>
      </c>
      <c r="F366">
        <v>177.2</v>
      </c>
      <c r="G366">
        <v>177.9</v>
      </c>
      <c r="H366">
        <v>172.2</v>
      </c>
      <c r="I366">
        <v>172.1</v>
      </c>
      <c r="J366">
        <v>175.8</v>
      </c>
      <c r="K366">
        <v>172.2</v>
      </c>
      <c r="L366">
        <v>121.9</v>
      </c>
      <c r="M366">
        <v>204.8</v>
      </c>
      <c r="N366">
        <v>164.9</v>
      </c>
      <c r="O366">
        <v>196.6</v>
      </c>
      <c r="P366">
        <v>180.7</v>
      </c>
      <c r="Q366">
        <v>202.7</v>
      </c>
      <c r="R366">
        <v>180.3</v>
      </c>
      <c r="S366">
        <v>167</v>
      </c>
      <c r="T366">
        <v>178.2</v>
      </c>
      <c r="U366">
        <v>173.5</v>
      </c>
      <c r="V366">
        <v>182.8</v>
      </c>
      <c r="W366">
        <v>169.2</v>
      </c>
      <c r="X366">
        <v>180.8</v>
      </c>
      <c r="Y366">
        <v>159.80000000000001</v>
      </c>
      <c r="Z366">
        <v>168.4</v>
      </c>
      <c r="AA366">
        <v>172.5</v>
      </c>
      <c r="AB366">
        <v>181.4</v>
      </c>
      <c r="AC366">
        <v>170</v>
      </c>
      <c r="AD366">
        <v>176.3</v>
      </c>
      <c r="AE366">
        <v>2303.1999999999998</v>
      </c>
      <c r="AF366">
        <v>857.8</v>
      </c>
      <c r="AG366">
        <v>180.8</v>
      </c>
      <c r="AH366">
        <v>525.5</v>
      </c>
    </row>
    <row r="367" spans="1:34" x14ac:dyDescent="0.35">
      <c r="A367" t="s">
        <v>34</v>
      </c>
      <c r="B367">
        <v>2023</v>
      </c>
      <c r="C367" t="s">
        <v>35</v>
      </c>
      <c r="D367">
        <v>174.4</v>
      </c>
      <c r="E367">
        <v>207.7</v>
      </c>
      <c r="F367">
        <v>175.2</v>
      </c>
      <c r="G367">
        <v>177.3</v>
      </c>
      <c r="H367">
        <v>179.3</v>
      </c>
      <c r="I367">
        <v>169.5</v>
      </c>
      <c r="J367">
        <v>152.69999999999999</v>
      </c>
      <c r="K367">
        <v>171</v>
      </c>
      <c r="L367">
        <v>120</v>
      </c>
      <c r="M367">
        <v>209.7</v>
      </c>
      <c r="N367">
        <v>172.3</v>
      </c>
      <c r="O367">
        <v>193</v>
      </c>
      <c r="P367">
        <v>177</v>
      </c>
      <c r="Q367">
        <v>199.5</v>
      </c>
      <c r="R367">
        <v>186.2</v>
      </c>
      <c r="S367">
        <v>178.7</v>
      </c>
      <c r="T367">
        <v>185.1</v>
      </c>
      <c r="U367">
        <v>173.5</v>
      </c>
      <c r="V367">
        <v>182.1</v>
      </c>
      <c r="W367">
        <v>174.2</v>
      </c>
      <c r="X367">
        <v>184.4</v>
      </c>
      <c r="Y367">
        <v>164.2</v>
      </c>
      <c r="Z367">
        <v>170.3</v>
      </c>
      <c r="AA367">
        <v>175</v>
      </c>
      <c r="AB367">
        <v>181</v>
      </c>
      <c r="AC367">
        <v>174.1</v>
      </c>
      <c r="AD367">
        <v>177.2</v>
      </c>
      <c r="AE367">
        <v>2279.1</v>
      </c>
      <c r="AF367">
        <v>889.2</v>
      </c>
      <c r="AG367">
        <v>184.4</v>
      </c>
      <c r="AH367">
        <v>529.79999999999995</v>
      </c>
    </row>
    <row r="368" spans="1:34" x14ac:dyDescent="0.35">
      <c r="A368" t="s">
        <v>30</v>
      </c>
      <c r="B368">
        <v>2023</v>
      </c>
      <c r="C368" t="s">
        <v>36</v>
      </c>
      <c r="D368">
        <v>174.3</v>
      </c>
      <c r="E368">
        <v>205.2</v>
      </c>
      <c r="F368">
        <v>173.9</v>
      </c>
      <c r="G368">
        <v>177</v>
      </c>
      <c r="H368">
        <v>183.3</v>
      </c>
      <c r="I368">
        <v>167.2</v>
      </c>
      <c r="J368">
        <v>140.9</v>
      </c>
      <c r="K368">
        <v>170.5</v>
      </c>
      <c r="L368">
        <v>119.1</v>
      </c>
      <c r="M368">
        <v>212.1</v>
      </c>
      <c r="N368">
        <v>177.6</v>
      </c>
      <c r="O368">
        <v>189.9</v>
      </c>
      <c r="P368">
        <v>174.8</v>
      </c>
      <c r="Q368">
        <v>198.4</v>
      </c>
      <c r="R368">
        <v>190</v>
      </c>
      <c r="S368">
        <v>187</v>
      </c>
      <c r="T368">
        <v>189.6</v>
      </c>
      <c r="U368" t="s">
        <v>32</v>
      </c>
      <c r="V368">
        <v>181.4</v>
      </c>
      <c r="W368">
        <v>178.6</v>
      </c>
      <c r="X368">
        <v>186.6</v>
      </c>
      <c r="Y368">
        <v>169</v>
      </c>
      <c r="Z368">
        <v>172.8</v>
      </c>
      <c r="AA368">
        <v>178.5</v>
      </c>
      <c r="AB368">
        <v>180.7</v>
      </c>
      <c r="AC368">
        <v>177.9</v>
      </c>
      <c r="AD368">
        <v>178</v>
      </c>
      <c r="AE368">
        <v>2265.8000000000002</v>
      </c>
      <c r="AF368">
        <v>914.1</v>
      </c>
      <c r="AG368">
        <v>186.6</v>
      </c>
      <c r="AH368">
        <v>360</v>
      </c>
    </row>
    <row r="369" spans="1:34" x14ac:dyDescent="0.35">
      <c r="A369" t="s">
        <v>33</v>
      </c>
      <c r="B369">
        <v>2023</v>
      </c>
      <c r="C369" t="s">
        <v>36</v>
      </c>
      <c r="D369">
        <v>174.7</v>
      </c>
      <c r="E369">
        <v>212.2</v>
      </c>
      <c r="F369">
        <v>177.2</v>
      </c>
      <c r="G369">
        <v>177.9</v>
      </c>
      <c r="H369">
        <v>172.2</v>
      </c>
      <c r="I369">
        <v>172.1</v>
      </c>
      <c r="J369">
        <v>175.9</v>
      </c>
      <c r="K369">
        <v>172.2</v>
      </c>
      <c r="L369">
        <v>121.9</v>
      </c>
      <c r="M369">
        <v>204.8</v>
      </c>
      <c r="N369">
        <v>164.9</v>
      </c>
      <c r="O369">
        <v>196.6</v>
      </c>
      <c r="P369">
        <v>180.8</v>
      </c>
      <c r="Q369">
        <v>202.7</v>
      </c>
      <c r="R369">
        <v>180.2</v>
      </c>
      <c r="S369">
        <v>167</v>
      </c>
      <c r="T369">
        <v>178.2</v>
      </c>
      <c r="U369">
        <v>173.5</v>
      </c>
      <c r="V369">
        <v>182.6</v>
      </c>
      <c r="W369">
        <v>169.2</v>
      </c>
      <c r="X369">
        <v>180.8</v>
      </c>
      <c r="Y369">
        <v>159.80000000000001</v>
      </c>
      <c r="Z369">
        <v>168.4</v>
      </c>
      <c r="AA369">
        <v>172.5</v>
      </c>
      <c r="AB369">
        <v>181.5</v>
      </c>
      <c r="AC369">
        <v>170</v>
      </c>
      <c r="AD369">
        <v>176.3</v>
      </c>
      <c r="AE369">
        <v>2303.4</v>
      </c>
      <c r="AF369">
        <v>857.7</v>
      </c>
      <c r="AG369">
        <v>180.8</v>
      </c>
      <c r="AH369">
        <v>525.29999999999995</v>
      </c>
    </row>
    <row r="370" spans="1:34" x14ac:dyDescent="0.35">
      <c r="A370" t="s">
        <v>34</v>
      </c>
      <c r="B370">
        <v>2023</v>
      </c>
      <c r="C370" t="s">
        <v>36</v>
      </c>
      <c r="D370">
        <v>174.4</v>
      </c>
      <c r="E370">
        <v>207.7</v>
      </c>
      <c r="F370">
        <v>175.2</v>
      </c>
      <c r="G370">
        <v>177.3</v>
      </c>
      <c r="H370">
        <v>179.2</v>
      </c>
      <c r="I370">
        <v>169.5</v>
      </c>
      <c r="J370">
        <v>152.80000000000001</v>
      </c>
      <c r="K370">
        <v>171.1</v>
      </c>
      <c r="L370">
        <v>120</v>
      </c>
      <c r="M370">
        <v>209.7</v>
      </c>
      <c r="N370">
        <v>172.3</v>
      </c>
      <c r="O370">
        <v>193</v>
      </c>
      <c r="P370">
        <v>177</v>
      </c>
      <c r="Q370">
        <v>199.5</v>
      </c>
      <c r="R370">
        <v>186.1</v>
      </c>
      <c r="S370">
        <v>178.7</v>
      </c>
      <c r="T370">
        <v>185.1</v>
      </c>
      <c r="U370">
        <v>173.5</v>
      </c>
      <c r="V370">
        <v>181.9</v>
      </c>
      <c r="W370">
        <v>174.2</v>
      </c>
      <c r="X370">
        <v>184.4</v>
      </c>
      <c r="Y370">
        <v>164.2</v>
      </c>
      <c r="Z370">
        <v>170.3</v>
      </c>
      <c r="AA370">
        <v>175</v>
      </c>
      <c r="AB370">
        <v>181</v>
      </c>
      <c r="AC370">
        <v>174.1</v>
      </c>
      <c r="AD370">
        <v>177.2</v>
      </c>
      <c r="AE370">
        <v>2279.1999999999998</v>
      </c>
      <c r="AF370">
        <v>889.09999999999991</v>
      </c>
      <c r="AG370">
        <v>184.4</v>
      </c>
      <c r="AH370">
        <v>529.59999999999991</v>
      </c>
    </row>
    <row r="371" spans="1:34" x14ac:dyDescent="0.35">
      <c r="A371" t="s">
        <v>30</v>
      </c>
      <c r="B371">
        <v>2023</v>
      </c>
      <c r="C371" t="s">
        <v>37</v>
      </c>
      <c r="D371">
        <v>173.3</v>
      </c>
      <c r="E371">
        <v>206.9</v>
      </c>
      <c r="F371">
        <v>167.9</v>
      </c>
      <c r="G371">
        <v>178.2</v>
      </c>
      <c r="H371">
        <v>178.5</v>
      </c>
      <c r="I371">
        <v>173.7</v>
      </c>
      <c r="J371">
        <v>142.80000000000001</v>
      </c>
      <c r="K371">
        <v>172.8</v>
      </c>
      <c r="L371">
        <v>120.4</v>
      </c>
      <c r="M371">
        <v>215.5</v>
      </c>
      <c r="N371">
        <v>178.2</v>
      </c>
      <c r="O371">
        <v>190.5</v>
      </c>
      <c r="P371">
        <v>175.5</v>
      </c>
      <c r="Q371">
        <v>199.5</v>
      </c>
      <c r="R371">
        <v>190.7</v>
      </c>
      <c r="S371">
        <v>187.3</v>
      </c>
      <c r="T371">
        <v>190.2</v>
      </c>
      <c r="U371" t="s">
        <v>48</v>
      </c>
      <c r="V371">
        <v>181.5</v>
      </c>
      <c r="W371">
        <v>179.1</v>
      </c>
      <c r="X371">
        <v>187.2</v>
      </c>
      <c r="Y371">
        <v>169.4</v>
      </c>
      <c r="Z371">
        <v>173.2</v>
      </c>
      <c r="AA371">
        <v>179.4</v>
      </c>
      <c r="AB371">
        <v>183.8</v>
      </c>
      <c r="AC371">
        <v>178.9</v>
      </c>
      <c r="AD371">
        <v>178.8</v>
      </c>
      <c r="AE371">
        <v>2274.1999999999998</v>
      </c>
      <c r="AF371">
        <v>917</v>
      </c>
      <c r="AG371">
        <v>187.2</v>
      </c>
      <c r="AH371">
        <v>360.6</v>
      </c>
    </row>
    <row r="372" spans="1:34" x14ac:dyDescent="0.35">
      <c r="A372" t="s">
        <v>33</v>
      </c>
      <c r="B372">
        <v>2023</v>
      </c>
      <c r="C372" t="s">
        <v>37</v>
      </c>
      <c r="D372">
        <v>174.8</v>
      </c>
      <c r="E372">
        <v>213.7</v>
      </c>
      <c r="F372">
        <v>172.4</v>
      </c>
      <c r="G372">
        <v>178.8</v>
      </c>
      <c r="H372">
        <v>168.7</v>
      </c>
      <c r="I372">
        <v>179.2</v>
      </c>
      <c r="J372">
        <v>179.9</v>
      </c>
      <c r="K372">
        <v>174.7</v>
      </c>
      <c r="L372">
        <v>123.1</v>
      </c>
      <c r="M372">
        <v>207.8</v>
      </c>
      <c r="N372">
        <v>165.5</v>
      </c>
      <c r="O372">
        <v>197</v>
      </c>
      <c r="P372">
        <v>182.1</v>
      </c>
      <c r="Q372">
        <v>203.5</v>
      </c>
      <c r="R372">
        <v>181</v>
      </c>
      <c r="S372">
        <v>167.7</v>
      </c>
      <c r="T372">
        <v>178.9</v>
      </c>
      <c r="U372">
        <v>175.2</v>
      </c>
      <c r="V372">
        <v>182.1</v>
      </c>
      <c r="W372">
        <v>169.6</v>
      </c>
      <c r="X372">
        <v>181.5</v>
      </c>
      <c r="Y372">
        <v>160.1</v>
      </c>
      <c r="Z372">
        <v>168.8</v>
      </c>
      <c r="AA372">
        <v>174.2</v>
      </c>
      <c r="AB372">
        <v>184.4</v>
      </c>
      <c r="AC372">
        <v>170.9</v>
      </c>
      <c r="AD372">
        <v>177.4</v>
      </c>
      <c r="AE372">
        <v>2317.7000000000003</v>
      </c>
      <c r="AF372">
        <v>861.90000000000009</v>
      </c>
      <c r="AG372">
        <v>181.5</v>
      </c>
      <c r="AH372">
        <v>526.9</v>
      </c>
    </row>
    <row r="373" spans="1:34" x14ac:dyDescent="0.35">
      <c r="A373" t="s">
        <v>34</v>
      </c>
      <c r="B373">
        <v>2023</v>
      </c>
      <c r="C373" t="s">
        <v>37</v>
      </c>
      <c r="D373">
        <v>173.8</v>
      </c>
      <c r="E373">
        <v>209.3</v>
      </c>
      <c r="F373">
        <v>169.6</v>
      </c>
      <c r="G373">
        <v>178.4</v>
      </c>
      <c r="H373">
        <v>174.9</v>
      </c>
      <c r="I373">
        <v>176.3</v>
      </c>
      <c r="J373">
        <v>155.4</v>
      </c>
      <c r="K373">
        <v>173.4</v>
      </c>
      <c r="L373">
        <v>121.3</v>
      </c>
      <c r="M373">
        <v>212.9</v>
      </c>
      <c r="N373">
        <v>172.9</v>
      </c>
      <c r="O373">
        <v>193.5</v>
      </c>
      <c r="P373">
        <v>177.9</v>
      </c>
      <c r="Q373">
        <v>200.6</v>
      </c>
      <c r="R373">
        <v>186.9</v>
      </c>
      <c r="S373">
        <v>179.2</v>
      </c>
      <c r="T373">
        <v>185.7</v>
      </c>
      <c r="U373">
        <v>175.2</v>
      </c>
      <c r="V373">
        <v>181.7</v>
      </c>
      <c r="W373">
        <v>174.6</v>
      </c>
      <c r="X373">
        <v>185</v>
      </c>
      <c r="Y373">
        <v>164.5</v>
      </c>
      <c r="Z373">
        <v>170.7</v>
      </c>
      <c r="AA373">
        <v>176.4</v>
      </c>
      <c r="AB373">
        <v>184</v>
      </c>
      <c r="AC373">
        <v>175</v>
      </c>
      <c r="AD373">
        <v>178.1</v>
      </c>
      <c r="AE373">
        <v>2289.6000000000004</v>
      </c>
      <c r="AF373">
        <v>892.69999999999993</v>
      </c>
      <c r="AG373">
        <v>185</v>
      </c>
      <c r="AH373">
        <v>531.5</v>
      </c>
    </row>
    <row r="374" spans="1:34" x14ac:dyDescent="0.35">
      <c r="A374" t="s">
        <v>30</v>
      </c>
      <c r="B374">
        <v>2023</v>
      </c>
      <c r="C374" t="s">
        <v>38</v>
      </c>
      <c r="D374">
        <v>173.2</v>
      </c>
      <c r="E374">
        <v>211.5</v>
      </c>
      <c r="F374">
        <v>171</v>
      </c>
      <c r="G374">
        <v>179.6</v>
      </c>
      <c r="H374">
        <v>173.3</v>
      </c>
      <c r="I374">
        <v>169</v>
      </c>
      <c r="J374">
        <v>148.69999999999999</v>
      </c>
      <c r="K374">
        <v>174.9</v>
      </c>
      <c r="L374">
        <v>121.9</v>
      </c>
      <c r="M374">
        <v>221</v>
      </c>
      <c r="N374">
        <v>178.7</v>
      </c>
      <c r="O374">
        <v>191.1</v>
      </c>
      <c r="P374">
        <v>176.8</v>
      </c>
      <c r="Q374">
        <v>199.9</v>
      </c>
      <c r="R374">
        <v>191.2</v>
      </c>
      <c r="S374">
        <v>187.9</v>
      </c>
      <c r="T374">
        <v>190.8</v>
      </c>
      <c r="U374" t="s">
        <v>48</v>
      </c>
      <c r="V374">
        <v>182.5</v>
      </c>
      <c r="W374">
        <v>179.8</v>
      </c>
      <c r="X374">
        <v>187.8</v>
      </c>
      <c r="Y374">
        <v>169.7</v>
      </c>
      <c r="Z374">
        <v>173.8</v>
      </c>
      <c r="AA374">
        <v>180.3</v>
      </c>
      <c r="AB374">
        <v>184.9</v>
      </c>
      <c r="AC374">
        <v>179.5</v>
      </c>
      <c r="AD374">
        <v>179.8</v>
      </c>
      <c r="AE374">
        <v>2290.7000000000007</v>
      </c>
      <c r="AF374">
        <v>919.90000000000009</v>
      </c>
      <c r="AG374">
        <v>187.8</v>
      </c>
      <c r="AH374">
        <v>362.3</v>
      </c>
    </row>
    <row r="375" spans="1:34" x14ac:dyDescent="0.35">
      <c r="A375" t="s">
        <v>33</v>
      </c>
      <c r="B375">
        <v>2023</v>
      </c>
      <c r="C375" t="s">
        <v>38</v>
      </c>
      <c r="D375">
        <v>174.7</v>
      </c>
      <c r="E375">
        <v>219.4</v>
      </c>
      <c r="F375">
        <v>176.7</v>
      </c>
      <c r="G375">
        <v>179.4</v>
      </c>
      <c r="H375">
        <v>164.4</v>
      </c>
      <c r="I375">
        <v>175.8</v>
      </c>
      <c r="J375">
        <v>185</v>
      </c>
      <c r="K375">
        <v>176.9</v>
      </c>
      <c r="L375">
        <v>124.2</v>
      </c>
      <c r="M375">
        <v>211.9</v>
      </c>
      <c r="N375">
        <v>165.9</v>
      </c>
      <c r="O375">
        <v>197.7</v>
      </c>
      <c r="P375">
        <v>183.1</v>
      </c>
      <c r="Q375">
        <v>204.2</v>
      </c>
      <c r="R375">
        <v>181.3</v>
      </c>
      <c r="S375">
        <v>168.1</v>
      </c>
      <c r="T375">
        <v>179.3</v>
      </c>
      <c r="U375">
        <v>175.6</v>
      </c>
      <c r="V375">
        <v>183.4</v>
      </c>
      <c r="W375">
        <v>170.1</v>
      </c>
      <c r="X375">
        <v>182.2</v>
      </c>
      <c r="Y375">
        <v>160.4</v>
      </c>
      <c r="Z375">
        <v>169.2</v>
      </c>
      <c r="AA375">
        <v>174.8</v>
      </c>
      <c r="AB375">
        <v>185.6</v>
      </c>
      <c r="AC375">
        <v>171.6</v>
      </c>
      <c r="AD375">
        <v>178.2</v>
      </c>
      <c r="AE375">
        <v>2335.1</v>
      </c>
      <c r="AF375">
        <v>863.90000000000009</v>
      </c>
      <c r="AG375">
        <v>182.2</v>
      </c>
      <c r="AH375">
        <v>529.1</v>
      </c>
    </row>
    <row r="376" spans="1:34" x14ac:dyDescent="0.35">
      <c r="A376" t="s">
        <v>34</v>
      </c>
      <c r="B376">
        <v>2023</v>
      </c>
      <c r="C376" t="s">
        <v>38</v>
      </c>
      <c r="D376">
        <v>173.7</v>
      </c>
      <c r="E376">
        <v>214.3</v>
      </c>
      <c r="F376">
        <v>173.2</v>
      </c>
      <c r="G376">
        <v>179.5</v>
      </c>
      <c r="H376">
        <v>170</v>
      </c>
      <c r="I376">
        <v>172.2</v>
      </c>
      <c r="J376">
        <v>161</v>
      </c>
      <c r="K376">
        <v>175.6</v>
      </c>
      <c r="L376">
        <v>122.7</v>
      </c>
      <c r="M376">
        <v>218</v>
      </c>
      <c r="N376">
        <v>173.4</v>
      </c>
      <c r="O376">
        <v>194.2</v>
      </c>
      <c r="P376">
        <v>179.1</v>
      </c>
      <c r="Q376">
        <v>201</v>
      </c>
      <c r="R376">
        <v>187.3</v>
      </c>
      <c r="S376">
        <v>179.7</v>
      </c>
      <c r="T376">
        <v>186.2</v>
      </c>
      <c r="U376">
        <v>175.6</v>
      </c>
      <c r="V376">
        <v>182.8</v>
      </c>
      <c r="W376">
        <v>175.2</v>
      </c>
      <c r="X376">
        <v>185.7</v>
      </c>
      <c r="Y376">
        <v>164.8</v>
      </c>
      <c r="Z376">
        <v>171.2</v>
      </c>
      <c r="AA376">
        <v>177.1</v>
      </c>
      <c r="AB376">
        <v>185.2</v>
      </c>
      <c r="AC376">
        <v>175.7</v>
      </c>
      <c r="AD376">
        <v>179.1</v>
      </c>
      <c r="AE376">
        <v>2306.9</v>
      </c>
      <c r="AF376">
        <v>895.1</v>
      </c>
      <c r="AG376">
        <v>185.7</v>
      </c>
      <c r="AH376">
        <v>533.59999999999991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10E6-F0FA-46C7-98CB-66D5782237C2}">
  <dimension ref="B6:EA90"/>
  <sheetViews>
    <sheetView topLeftCell="A2" zoomScale="82" zoomScaleNormal="115" workbookViewId="0">
      <pane xSplit="6" ySplit="8" topLeftCell="G63" activePane="bottomRight" state="frozen"/>
      <selection activeCell="A2" sqref="A2"/>
      <selection pane="topRight" activeCell="G2" sqref="G2"/>
      <selection pane="bottomLeft" activeCell="A10" sqref="A10"/>
      <selection pane="bottomRight" activeCell="E9" sqref="E9:F90"/>
    </sheetView>
  </sheetViews>
  <sheetFormatPr defaultRowHeight="14.5" x14ac:dyDescent="0.35"/>
  <cols>
    <col min="4" max="4" width="31.26953125" bestFit="1" customWidth="1"/>
    <col min="5" max="5" width="18.54296875" customWidth="1"/>
    <col min="6" max="6" width="13.54296875" customWidth="1"/>
  </cols>
  <sheetData>
    <row r="6" spans="2:131" ht="15.5" x14ac:dyDescent="0.35">
      <c r="CX6" s="111">
        <v>49.839816952380943</v>
      </c>
      <c r="CY6" s="111">
        <v>54.794569624999994</v>
      </c>
      <c r="CZ6" s="111">
        <v>61.216117289473672</v>
      </c>
      <c r="DA6" s="111">
        <v>64.729496782608663</v>
      </c>
      <c r="DB6" s="111">
        <v>63.396976500000008</v>
      </c>
      <c r="DC6" s="111">
        <v>66.953084852941174</v>
      </c>
      <c r="DD6" s="111">
        <v>71.982647477272721</v>
      </c>
      <c r="DE6" s="111">
        <v>73.539060523809511</v>
      </c>
      <c r="DF6" s="111">
        <v>69.804724424999989</v>
      </c>
      <c r="DG6" s="111">
        <v>73.130738295454549</v>
      </c>
      <c r="DH6" s="111">
        <v>82.107393785714294</v>
      </c>
      <c r="DI6" s="111">
        <v>80.637301023809528</v>
      </c>
      <c r="DJ6" s="111">
        <v>73.298823523809531</v>
      </c>
      <c r="DK6" s="111">
        <v>84.666318799999985</v>
      </c>
      <c r="DL6" s="111">
        <v>94.067715194444446</v>
      </c>
      <c r="DM6" s="111">
        <v>112.87479254347826</v>
      </c>
      <c r="DN6" s="111">
        <v>102.96599786842103</v>
      </c>
      <c r="DO6" s="111">
        <v>109.50503773684208</v>
      </c>
      <c r="DP6" s="111">
        <v>116.01138504999999</v>
      </c>
      <c r="DQ6" s="111">
        <v>105.49124737500001</v>
      </c>
      <c r="DR6" s="111">
        <v>97.404465428571427</v>
      </c>
      <c r="DS6" s="111">
        <v>90.706344809523813</v>
      </c>
      <c r="DT6" s="111">
        <v>91.698948700000003</v>
      </c>
      <c r="DU6" s="111">
        <v>87.552266068181822</v>
      </c>
      <c r="DV6" s="111">
        <v>78.100942275000008</v>
      </c>
      <c r="DW6" s="111">
        <v>80.922269684210534</v>
      </c>
      <c r="DX6" s="111">
        <v>82.278706675000009</v>
      </c>
      <c r="DY6" s="111">
        <v>78.539480282608693</v>
      </c>
      <c r="DZ6" s="111">
        <v>83.755358416666667</v>
      </c>
      <c r="EA6" s="111">
        <v>74.981547824999993</v>
      </c>
    </row>
    <row r="7" spans="2:131" x14ac:dyDescent="0.35">
      <c r="D7" s="1"/>
      <c r="E7" s="1"/>
      <c r="F7" s="1"/>
      <c r="CD7" s="3"/>
    </row>
    <row r="8" spans="2:131" x14ac:dyDescent="0.35">
      <c r="D8" s="47" t="s">
        <v>1</v>
      </c>
      <c r="E8" s="47"/>
      <c r="F8" s="47"/>
      <c r="G8" s="47">
        <v>2013</v>
      </c>
      <c r="H8" s="47">
        <v>2013</v>
      </c>
      <c r="I8" s="47">
        <v>2013</v>
      </c>
      <c r="J8" s="47">
        <v>2013</v>
      </c>
      <c r="K8" s="47">
        <v>2013</v>
      </c>
      <c r="L8" s="47">
        <v>2013</v>
      </c>
      <c r="M8" s="47">
        <v>2013</v>
      </c>
      <c r="N8" s="47">
        <v>2013</v>
      </c>
      <c r="O8" s="47">
        <v>2013</v>
      </c>
      <c r="P8" s="47">
        <v>2013</v>
      </c>
      <c r="Q8" s="47">
        <v>2013</v>
      </c>
      <c r="R8" s="47">
        <v>2013</v>
      </c>
      <c r="S8" s="47">
        <v>2014</v>
      </c>
      <c r="T8" s="47">
        <v>2014</v>
      </c>
      <c r="U8" s="47">
        <v>2014</v>
      </c>
      <c r="V8" s="47">
        <v>2014</v>
      </c>
      <c r="W8" s="47">
        <v>2014</v>
      </c>
      <c r="X8" s="47">
        <v>2014</v>
      </c>
      <c r="Y8" s="47">
        <v>2014</v>
      </c>
      <c r="Z8" s="47">
        <v>2014</v>
      </c>
      <c r="AA8" s="47">
        <v>2014</v>
      </c>
      <c r="AB8" s="47">
        <v>2014</v>
      </c>
      <c r="AC8" s="47">
        <v>2014</v>
      </c>
      <c r="AD8" s="47">
        <v>2014</v>
      </c>
      <c r="AE8" s="47">
        <v>2015</v>
      </c>
      <c r="AF8" s="47">
        <v>2015</v>
      </c>
      <c r="AG8" s="47">
        <v>2015</v>
      </c>
      <c r="AH8" s="47">
        <v>2015</v>
      </c>
      <c r="AI8" s="47">
        <v>2015</v>
      </c>
      <c r="AJ8" s="47">
        <v>2015</v>
      </c>
      <c r="AK8" s="47">
        <v>2015</v>
      </c>
      <c r="AL8" s="47">
        <v>2015</v>
      </c>
      <c r="AM8" s="47">
        <v>2015</v>
      </c>
      <c r="AN8" s="47">
        <v>2015</v>
      </c>
      <c r="AO8" s="47">
        <v>2015</v>
      </c>
      <c r="AP8" s="47">
        <v>2015</v>
      </c>
      <c r="AQ8" s="47">
        <v>2016</v>
      </c>
      <c r="AR8" s="47">
        <v>2016</v>
      </c>
      <c r="AS8" s="47">
        <v>2016</v>
      </c>
      <c r="AT8" s="47">
        <v>2016</v>
      </c>
      <c r="AU8" s="47">
        <v>2016</v>
      </c>
      <c r="AV8" s="47">
        <v>2016</v>
      </c>
      <c r="AW8" s="47">
        <v>2016</v>
      </c>
      <c r="AX8" s="47">
        <v>2016</v>
      </c>
      <c r="AY8" s="47">
        <v>2016</v>
      </c>
      <c r="AZ8" s="47">
        <v>2016</v>
      </c>
      <c r="BA8" s="47">
        <v>2016</v>
      </c>
      <c r="BB8" s="47">
        <v>2016</v>
      </c>
      <c r="BC8" s="47">
        <v>2017</v>
      </c>
      <c r="BD8" s="47">
        <v>2017</v>
      </c>
      <c r="BE8" s="47">
        <v>2017</v>
      </c>
      <c r="BF8" s="47">
        <v>2017</v>
      </c>
      <c r="BG8" s="47">
        <v>2017</v>
      </c>
      <c r="BH8" s="47">
        <v>2017</v>
      </c>
      <c r="BI8" s="47">
        <v>2017</v>
      </c>
      <c r="BJ8" s="47">
        <v>2017</v>
      </c>
      <c r="BK8" s="47">
        <v>2017</v>
      </c>
      <c r="BL8" s="47">
        <v>2017</v>
      </c>
      <c r="BM8" s="47">
        <v>2017</v>
      </c>
      <c r="BN8" s="47">
        <v>2017</v>
      </c>
      <c r="BO8" s="47">
        <v>2018</v>
      </c>
      <c r="BP8" s="47">
        <v>2018</v>
      </c>
      <c r="BQ8" s="47">
        <v>2018</v>
      </c>
      <c r="BR8" s="47">
        <v>2018</v>
      </c>
      <c r="BS8" s="47">
        <v>2018</v>
      </c>
      <c r="BT8" s="47">
        <v>2018</v>
      </c>
      <c r="BU8" s="47">
        <v>2018</v>
      </c>
      <c r="BV8" s="47">
        <v>2018</v>
      </c>
      <c r="BW8" s="47">
        <v>2018</v>
      </c>
      <c r="BX8" s="47">
        <v>2018</v>
      </c>
      <c r="BY8" s="47">
        <v>2018</v>
      </c>
      <c r="BZ8" s="47">
        <v>2018</v>
      </c>
      <c r="CA8" s="47">
        <v>2019</v>
      </c>
      <c r="CB8" s="47">
        <v>2019</v>
      </c>
      <c r="CC8" s="47">
        <v>2019</v>
      </c>
      <c r="CD8" s="47">
        <v>2019</v>
      </c>
      <c r="CE8" s="47">
        <v>2019</v>
      </c>
      <c r="CF8" s="47">
        <v>2019</v>
      </c>
      <c r="CG8" s="47">
        <v>2019</v>
      </c>
      <c r="CH8" s="47">
        <v>2019</v>
      </c>
      <c r="CI8" s="47">
        <v>2019</v>
      </c>
      <c r="CJ8" s="47">
        <v>2019</v>
      </c>
      <c r="CK8" s="47">
        <v>2019</v>
      </c>
      <c r="CL8" s="47">
        <v>2019</v>
      </c>
      <c r="CM8" s="47">
        <v>2020</v>
      </c>
      <c r="CN8" s="47">
        <v>2020</v>
      </c>
      <c r="CO8" s="47">
        <v>2020</v>
      </c>
      <c r="CP8" s="47">
        <v>2020</v>
      </c>
      <c r="CQ8" s="47">
        <v>2020</v>
      </c>
      <c r="CR8" s="47">
        <v>2020</v>
      </c>
      <c r="CS8" s="47">
        <v>2020</v>
      </c>
      <c r="CT8" s="47">
        <v>2020</v>
      </c>
      <c r="CU8" s="47">
        <v>2020</v>
      </c>
      <c r="CV8" s="47">
        <v>2020</v>
      </c>
      <c r="CW8" s="47">
        <v>2020</v>
      </c>
      <c r="CX8" s="47">
        <v>2020</v>
      </c>
      <c r="CY8" s="47">
        <v>2021</v>
      </c>
      <c r="CZ8" s="47">
        <v>2021</v>
      </c>
      <c r="DA8" s="47">
        <v>2021</v>
      </c>
      <c r="DB8" s="47">
        <v>2021</v>
      </c>
      <c r="DC8" s="47">
        <v>2021</v>
      </c>
      <c r="DD8" s="47">
        <v>2021</v>
      </c>
      <c r="DE8" s="47">
        <v>2021</v>
      </c>
      <c r="DF8" s="47">
        <v>2021</v>
      </c>
      <c r="DG8" s="47">
        <v>2021</v>
      </c>
      <c r="DH8" s="47">
        <v>2021</v>
      </c>
      <c r="DI8" s="47">
        <v>2021</v>
      </c>
      <c r="DJ8" s="47">
        <v>2021</v>
      </c>
      <c r="DK8" s="47">
        <v>2022</v>
      </c>
      <c r="DL8" s="47">
        <v>2022</v>
      </c>
      <c r="DM8" s="47">
        <v>2022</v>
      </c>
      <c r="DN8" s="47">
        <v>2022</v>
      </c>
      <c r="DO8" s="47">
        <v>2022</v>
      </c>
      <c r="DP8" s="47">
        <v>2022</v>
      </c>
      <c r="DQ8" s="47">
        <v>2022</v>
      </c>
      <c r="DR8" s="47">
        <v>2022</v>
      </c>
      <c r="DS8" s="47">
        <v>2022</v>
      </c>
      <c r="DT8" s="47">
        <v>2022</v>
      </c>
      <c r="DU8" s="47">
        <v>2022</v>
      </c>
      <c r="DV8" s="47">
        <v>2022</v>
      </c>
      <c r="DW8" s="47">
        <v>2023</v>
      </c>
      <c r="DX8" s="47">
        <v>2023</v>
      </c>
      <c r="DY8" s="47">
        <v>2023</v>
      </c>
      <c r="DZ8" s="47">
        <v>2023</v>
      </c>
      <c r="EA8" s="47">
        <v>2023</v>
      </c>
    </row>
    <row r="9" spans="2:131" x14ac:dyDescent="0.35">
      <c r="B9" s="1"/>
      <c r="C9" s="1"/>
      <c r="D9" s="47" t="s">
        <v>2</v>
      </c>
      <c r="E9" s="47" t="s">
        <v>58</v>
      </c>
      <c r="F9" s="47" t="s">
        <v>0</v>
      </c>
      <c r="G9" s="47" t="s">
        <v>31</v>
      </c>
      <c r="H9" s="47" t="s">
        <v>35</v>
      </c>
      <c r="I9" s="47" t="s">
        <v>36</v>
      </c>
      <c r="J9" s="47" t="s">
        <v>37</v>
      </c>
      <c r="K9" s="47" t="s">
        <v>38</v>
      </c>
      <c r="L9" s="47" t="s">
        <v>39</v>
      </c>
      <c r="M9" s="47" t="s">
        <v>40</v>
      </c>
      <c r="N9" s="47" t="s">
        <v>41</v>
      </c>
      <c r="O9" s="47" t="s">
        <v>42</v>
      </c>
      <c r="P9" s="47" t="s">
        <v>43</v>
      </c>
      <c r="Q9" s="47" t="s">
        <v>45</v>
      </c>
      <c r="R9" s="47" t="s">
        <v>46</v>
      </c>
      <c r="S9" s="47" t="s">
        <v>31</v>
      </c>
      <c r="T9" s="47" t="s">
        <v>35</v>
      </c>
      <c r="U9" s="47" t="s">
        <v>47</v>
      </c>
      <c r="V9" s="47" t="s">
        <v>37</v>
      </c>
      <c r="W9" s="47" t="s">
        <v>38</v>
      </c>
      <c r="X9" s="47" t="s">
        <v>39</v>
      </c>
      <c r="Y9" s="47" t="s">
        <v>40</v>
      </c>
      <c r="Z9" s="47" t="s">
        <v>41</v>
      </c>
      <c r="AA9" s="47" t="s">
        <v>42</v>
      </c>
      <c r="AB9" s="47" t="s">
        <v>43</v>
      </c>
      <c r="AC9" s="47" t="s">
        <v>45</v>
      </c>
      <c r="AD9" s="47" t="s">
        <v>46</v>
      </c>
      <c r="AE9" s="47" t="s">
        <v>31</v>
      </c>
      <c r="AF9" s="47" t="s">
        <v>35</v>
      </c>
      <c r="AG9" s="47" t="s">
        <v>36</v>
      </c>
      <c r="AH9" s="47" t="s">
        <v>37</v>
      </c>
      <c r="AI9" s="47" t="s">
        <v>38</v>
      </c>
      <c r="AJ9" s="47" t="s">
        <v>39</v>
      </c>
      <c r="AK9" s="47" t="s">
        <v>40</v>
      </c>
      <c r="AL9" s="47" t="s">
        <v>41</v>
      </c>
      <c r="AM9" s="47" t="s">
        <v>42</v>
      </c>
      <c r="AN9" s="47" t="s">
        <v>43</v>
      </c>
      <c r="AO9" s="47" t="s">
        <v>45</v>
      </c>
      <c r="AP9" s="47" t="s">
        <v>46</v>
      </c>
      <c r="AQ9" s="47" t="s">
        <v>31</v>
      </c>
      <c r="AR9" s="47" t="s">
        <v>35</v>
      </c>
      <c r="AS9" s="47" t="s">
        <v>36</v>
      </c>
      <c r="AT9" s="47" t="s">
        <v>37</v>
      </c>
      <c r="AU9" s="47" t="s">
        <v>38</v>
      </c>
      <c r="AV9" s="47" t="s">
        <v>39</v>
      </c>
      <c r="AW9" s="47" t="s">
        <v>40</v>
      </c>
      <c r="AX9" s="47" t="s">
        <v>41</v>
      </c>
      <c r="AY9" s="47" t="s">
        <v>42</v>
      </c>
      <c r="AZ9" s="47" t="s">
        <v>43</v>
      </c>
      <c r="BA9" s="47" t="s">
        <v>45</v>
      </c>
      <c r="BB9" s="47" t="s">
        <v>46</v>
      </c>
      <c r="BC9" s="47" t="s">
        <v>31</v>
      </c>
      <c r="BD9" s="47" t="s">
        <v>35</v>
      </c>
      <c r="BE9" s="47" t="s">
        <v>36</v>
      </c>
      <c r="BF9" s="47" t="s">
        <v>37</v>
      </c>
      <c r="BG9" s="47" t="s">
        <v>38</v>
      </c>
      <c r="BH9" s="47" t="s">
        <v>39</v>
      </c>
      <c r="BI9" s="47" t="s">
        <v>40</v>
      </c>
      <c r="BJ9" s="47" t="s">
        <v>41</v>
      </c>
      <c r="BK9" s="47" t="s">
        <v>42</v>
      </c>
      <c r="BL9" s="47" t="s">
        <v>43</v>
      </c>
      <c r="BM9" s="47" t="s">
        <v>45</v>
      </c>
      <c r="BN9" s="47" t="s">
        <v>46</v>
      </c>
      <c r="BO9" s="47" t="s">
        <v>31</v>
      </c>
      <c r="BP9" s="47" t="s">
        <v>35</v>
      </c>
      <c r="BQ9" s="47" t="s">
        <v>36</v>
      </c>
      <c r="BR9" s="47" t="s">
        <v>37</v>
      </c>
      <c r="BS9" s="47" t="s">
        <v>38</v>
      </c>
      <c r="BT9" s="47" t="s">
        <v>39</v>
      </c>
      <c r="BU9" s="47" t="s">
        <v>40</v>
      </c>
      <c r="BV9" s="47" t="s">
        <v>41</v>
      </c>
      <c r="BW9" s="47" t="s">
        <v>42</v>
      </c>
      <c r="BX9" s="47" t="s">
        <v>43</v>
      </c>
      <c r="BY9" s="47" t="s">
        <v>45</v>
      </c>
      <c r="BZ9" s="47" t="s">
        <v>46</v>
      </c>
      <c r="CA9" s="47" t="s">
        <v>31</v>
      </c>
      <c r="CB9" s="47" t="s">
        <v>35</v>
      </c>
      <c r="CC9" s="47" t="s">
        <v>36</v>
      </c>
      <c r="CD9" s="47" t="s">
        <v>37</v>
      </c>
      <c r="CE9" s="47" t="s">
        <v>38</v>
      </c>
      <c r="CF9" s="47" t="s">
        <v>39</v>
      </c>
      <c r="CG9" s="47" t="s">
        <v>40</v>
      </c>
      <c r="CH9" s="47" t="s">
        <v>41</v>
      </c>
      <c r="CI9" s="47" t="s">
        <v>42</v>
      </c>
      <c r="CJ9" s="47" t="s">
        <v>43</v>
      </c>
      <c r="CK9" s="47" t="s">
        <v>45</v>
      </c>
      <c r="CL9" s="47" t="s">
        <v>46</v>
      </c>
      <c r="CM9" s="47" t="s">
        <v>31</v>
      </c>
      <c r="CN9" s="47" t="s">
        <v>35</v>
      </c>
      <c r="CO9" s="47" t="s">
        <v>36</v>
      </c>
      <c r="CP9" s="47" t="s">
        <v>37</v>
      </c>
      <c r="CQ9" s="47" t="s">
        <v>38</v>
      </c>
      <c r="CR9" s="47" t="s">
        <v>39</v>
      </c>
      <c r="CS9" s="47" t="s">
        <v>40</v>
      </c>
      <c r="CT9" s="47" t="s">
        <v>41</v>
      </c>
      <c r="CU9" s="47" t="s">
        <v>42</v>
      </c>
      <c r="CV9" s="47" t="s">
        <v>43</v>
      </c>
      <c r="CW9" s="47" t="s">
        <v>45</v>
      </c>
      <c r="CX9" s="47" t="s">
        <v>46</v>
      </c>
      <c r="CY9" s="47" t="s">
        <v>31</v>
      </c>
      <c r="CZ9" s="47" t="s">
        <v>35</v>
      </c>
      <c r="DA9" s="47" t="s">
        <v>36</v>
      </c>
      <c r="DB9" s="47" t="s">
        <v>37</v>
      </c>
      <c r="DC9" s="47" t="s">
        <v>38</v>
      </c>
      <c r="DD9" s="47" t="s">
        <v>39</v>
      </c>
      <c r="DE9" s="47" t="s">
        <v>40</v>
      </c>
      <c r="DF9" s="47" t="s">
        <v>41</v>
      </c>
      <c r="DG9" s="47" t="s">
        <v>42</v>
      </c>
      <c r="DH9" s="47" t="s">
        <v>43</v>
      </c>
      <c r="DI9" s="47" t="s">
        <v>45</v>
      </c>
      <c r="DJ9" s="47" t="s">
        <v>46</v>
      </c>
      <c r="DK9" s="47" t="s">
        <v>31</v>
      </c>
      <c r="DL9" s="47" t="s">
        <v>35</v>
      </c>
      <c r="DM9" s="47" t="s">
        <v>36</v>
      </c>
      <c r="DN9" s="47" t="s">
        <v>37</v>
      </c>
      <c r="DO9" s="47" t="s">
        <v>38</v>
      </c>
      <c r="DP9" s="47" t="s">
        <v>39</v>
      </c>
      <c r="DQ9" s="47" t="s">
        <v>40</v>
      </c>
      <c r="DR9" s="47" t="s">
        <v>41</v>
      </c>
      <c r="DS9" s="47" t="s">
        <v>42</v>
      </c>
      <c r="DT9" s="47" t="s">
        <v>43</v>
      </c>
      <c r="DU9" s="47" t="s">
        <v>45</v>
      </c>
      <c r="DV9" s="47" t="s">
        <v>46</v>
      </c>
      <c r="DW9" s="47" t="s">
        <v>31</v>
      </c>
      <c r="DX9" s="47" t="s">
        <v>35</v>
      </c>
      <c r="DY9" s="47" t="s">
        <v>36</v>
      </c>
      <c r="DZ9" s="47" t="s">
        <v>37</v>
      </c>
      <c r="EA9" s="47" t="s">
        <v>38</v>
      </c>
    </row>
    <row r="10" spans="2:131" x14ac:dyDescent="0.35">
      <c r="D10" s="40" t="s">
        <v>3</v>
      </c>
      <c r="E10" s="37" t="s">
        <v>59</v>
      </c>
      <c r="F10" s="37" t="s">
        <v>34</v>
      </c>
      <c r="G10" s="37">
        <v>108.4</v>
      </c>
      <c r="H10" s="37">
        <v>110.4</v>
      </c>
      <c r="I10" s="37">
        <v>111.4</v>
      </c>
      <c r="J10" s="37">
        <v>111.6</v>
      </c>
      <c r="K10" s="37">
        <v>112.3</v>
      </c>
      <c r="L10" s="37">
        <v>113.8</v>
      </c>
      <c r="M10" s="37">
        <v>114.8</v>
      </c>
      <c r="N10" s="37">
        <v>115.6</v>
      </c>
      <c r="O10" s="37">
        <v>116.4</v>
      </c>
      <c r="P10" s="37">
        <v>117.1</v>
      </c>
      <c r="Q10" s="37">
        <v>118.1</v>
      </c>
      <c r="R10" s="37">
        <v>119.1</v>
      </c>
      <c r="S10" s="37">
        <v>119.6</v>
      </c>
      <c r="T10" s="37">
        <v>120.2</v>
      </c>
      <c r="U10" s="37">
        <v>120.7</v>
      </c>
      <c r="V10" s="37">
        <v>120.9</v>
      </c>
      <c r="W10" s="37">
        <v>121.1</v>
      </c>
      <c r="X10" s="37">
        <v>121.5</v>
      </c>
      <c r="Y10" s="37">
        <v>122.4</v>
      </c>
      <c r="Z10" s="37">
        <v>122.7</v>
      </c>
      <c r="AA10" s="37">
        <v>122.9</v>
      </c>
      <c r="AB10" s="37">
        <v>123.2</v>
      </c>
      <c r="AC10" s="37">
        <v>123.3</v>
      </c>
      <c r="AD10" s="37">
        <v>122.9</v>
      </c>
      <c r="AE10" s="37">
        <v>123.4</v>
      </c>
      <c r="AF10" s="37">
        <v>123.7</v>
      </c>
      <c r="AG10" s="37">
        <v>123.5</v>
      </c>
      <c r="AH10" s="37">
        <v>123.5</v>
      </c>
      <c r="AI10" s="37">
        <v>123.6</v>
      </c>
      <c r="AJ10" s="37">
        <v>123.9</v>
      </c>
      <c r="AK10" s="37">
        <v>123.7</v>
      </c>
      <c r="AL10" s="37">
        <v>124.2</v>
      </c>
      <c r="AM10" s="37">
        <v>124.6</v>
      </c>
      <c r="AN10" s="37">
        <v>125</v>
      </c>
      <c r="AO10" s="37">
        <v>125.4</v>
      </c>
      <c r="AP10" s="37">
        <v>125.7</v>
      </c>
      <c r="AQ10" s="37">
        <v>126.1</v>
      </c>
      <c r="AR10" s="37">
        <v>126.4</v>
      </c>
      <c r="AS10" s="37">
        <v>126.5</v>
      </c>
      <c r="AT10" s="37">
        <v>126.6</v>
      </c>
      <c r="AU10" s="37">
        <v>126.8</v>
      </c>
      <c r="AV10" s="37">
        <v>127.7</v>
      </c>
      <c r="AW10" s="37">
        <v>128.5</v>
      </c>
      <c r="AX10" s="37">
        <v>129.30000000000001</v>
      </c>
      <c r="AY10" s="37">
        <v>129.9</v>
      </c>
      <c r="AZ10" s="37">
        <v>130.5</v>
      </c>
      <c r="BA10" s="37">
        <v>131.4</v>
      </c>
      <c r="BB10" s="37">
        <v>132.30000000000001</v>
      </c>
      <c r="BC10" s="37">
        <v>132.80000000000001</v>
      </c>
      <c r="BD10" s="37">
        <v>133.1</v>
      </c>
      <c r="BE10" s="37">
        <v>133.30000000000001</v>
      </c>
      <c r="BF10" s="37">
        <v>133</v>
      </c>
      <c r="BG10" s="37">
        <v>132.9</v>
      </c>
      <c r="BH10" s="37">
        <v>133.30000000000001</v>
      </c>
      <c r="BI10" s="37">
        <v>133.6</v>
      </c>
      <c r="BJ10" s="37">
        <v>134.30000000000001</v>
      </c>
      <c r="BK10" s="37">
        <v>134.69999999999999</v>
      </c>
      <c r="BL10" s="37">
        <v>135.30000000000001</v>
      </c>
      <c r="BM10" s="37">
        <v>135.69999999999999</v>
      </c>
      <c r="BN10" s="37">
        <v>135.80000000000001</v>
      </c>
      <c r="BO10" s="37">
        <v>136</v>
      </c>
      <c r="BP10" s="37">
        <v>135.9</v>
      </c>
      <c r="BQ10" s="37">
        <v>136.19999999999999</v>
      </c>
      <c r="BR10" s="37">
        <v>136.4</v>
      </c>
      <c r="BS10" s="37">
        <v>136.6</v>
      </c>
      <c r="BT10" s="37">
        <v>136.9</v>
      </c>
      <c r="BU10" s="37">
        <v>137.5</v>
      </c>
      <c r="BV10" s="37">
        <v>138.30000000000001</v>
      </c>
      <c r="BW10" s="37">
        <v>138.6</v>
      </c>
      <c r="BX10" s="37">
        <v>137.4</v>
      </c>
      <c r="BY10" s="37">
        <v>137.4</v>
      </c>
      <c r="BZ10" s="37">
        <v>137.5</v>
      </c>
      <c r="CA10" s="37">
        <v>137.1</v>
      </c>
      <c r="CB10" s="37">
        <v>137.6</v>
      </c>
      <c r="CC10" s="37">
        <v>137.80000000000001</v>
      </c>
      <c r="CD10" s="37">
        <v>138.05000000000001</v>
      </c>
      <c r="CE10" s="37">
        <v>138.30000000000001</v>
      </c>
      <c r="CF10" s="37">
        <v>138.69999999999999</v>
      </c>
      <c r="CG10" s="37">
        <v>139.30000000000001</v>
      </c>
      <c r="CH10" s="37">
        <v>140.1</v>
      </c>
      <c r="CI10" s="37">
        <v>140.9</v>
      </c>
      <c r="CJ10" s="37">
        <v>141.80000000000001</v>
      </c>
      <c r="CK10" s="37">
        <v>142.5</v>
      </c>
      <c r="CL10" s="37">
        <v>143.5</v>
      </c>
      <c r="CM10" s="37">
        <v>144.30000000000001</v>
      </c>
      <c r="CN10" s="37">
        <v>144.80000000000001</v>
      </c>
      <c r="CO10" s="37">
        <v>145.1</v>
      </c>
      <c r="CP10" s="37">
        <v>148.69999999999999</v>
      </c>
      <c r="CQ10" s="37">
        <v>149.14999999999998</v>
      </c>
      <c r="CR10" s="37">
        <v>149.6</v>
      </c>
      <c r="CS10" s="37">
        <v>149.6</v>
      </c>
      <c r="CT10" s="37">
        <v>148.9</v>
      </c>
      <c r="CU10" s="37">
        <v>148.4</v>
      </c>
      <c r="CV10" s="37">
        <v>147.5</v>
      </c>
      <c r="CW10" s="37">
        <v>146.80000000000001</v>
      </c>
      <c r="CX10" s="37">
        <v>146</v>
      </c>
      <c r="CY10" s="37">
        <v>144.9</v>
      </c>
      <c r="CZ10" s="37">
        <v>144.30000000000001</v>
      </c>
      <c r="DA10" s="37">
        <v>144.1</v>
      </c>
      <c r="DB10" s="37">
        <v>144.30000000000001</v>
      </c>
      <c r="DC10" s="37">
        <v>146.30000000000001</v>
      </c>
      <c r="DD10" s="37">
        <v>146.69999999999999</v>
      </c>
      <c r="DE10" s="37">
        <v>146.4</v>
      </c>
      <c r="DF10" s="37">
        <v>146.6</v>
      </c>
      <c r="DG10" s="37">
        <v>146.6</v>
      </c>
      <c r="DH10" s="37">
        <v>147.4</v>
      </c>
      <c r="DI10" s="37">
        <v>148.19999999999999</v>
      </c>
      <c r="DJ10" s="37">
        <v>148.69999999999999</v>
      </c>
      <c r="DK10" s="37">
        <v>149.5</v>
      </c>
      <c r="DL10" s="37">
        <v>150</v>
      </c>
      <c r="DM10" s="37">
        <v>151.30000000000001</v>
      </c>
      <c r="DN10" s="37">
        <v>152.9</v>
      </c>
      <c r="DO10" s="37">
        <v>154.1</v>
      </c>
      <c r="DP10" s="37">
        <v>155</v>
      </c>
      <c r="DQ10" s="37">
        <v>156.5</v>
      </c>
      <c r="DR10" s="37">
        <v>160.30000000000001</v>
      </c>
      <c r="DS10" s="37">
        <v>163.5</v>
      </c>
      <c r="DT10" s="37">
        <v>165.2</v>
      </c>
      <c r="DU10" s="37">
        <v>167.4</v>
      </c>
      <c r="DV10" s="37">
        <v>169.2</v>
      </c>
      <c r="DW10" s="37">
        <v>173.8</v>
      </c>
      <c r="DX10" s="37">
        <v>174.4</v>
      </c>
      <c r="DY10" s="37">
        <v>174.4</v>
      </c>
      <c r="DZ10" s="37">
        <v>173.8</v>
      </c>
      <c r="EA10" s="37">
        <v>173.7</v>
      </c>
    </row>
    <row r="11" spans="2:131" x14ac:dyDescent="0.35">
      <c r="D11" s="40" t="s">
        <v>4</v>
      </c>
      <c r="E11" s="37" t="s">
        <v>59</v>
      </c>
      <c r="F11" s="37" t="s">
        <v>34</v>
      </c>
      <c r="G11" s="37">
        <v>107.3</v>
      </c>
      <c r="H11" s="37">
        <v>110.2</v>
      </c>
      <c r="I11" s="37">
        <v>109.7</v>
      </c>
      <c r="J11" s="37">
        <v>110.9</v>
      </c>
      <c r="K11" s="37">
        <v>111.3</v>
      </c>
      <c r="L11" s="37">
        <v>114.9</v>
      </c>
      <c r="M11" s="37">
        <v>116.4</v>
      </c>
      <c r="N11" s="37">
        <v>117.2</v>
      </c>
      <c r="O11" s="37">
        <v>116.9</v>
      </c>
      <c r="P11" s="37">
        <v>116.3</v>
      </c>
      <c r="Q11" s="37">
        <v>115.4</v>
      </c>
      <c r="R11" s="37">
        <v>116.7</v>
      </c>
      <c r="S11" s="37">
        <v>118.8</v>
      </c>
      <c r="T11" s="37">
        <v>119.2</v>
      </c>
      <c r="U11" s="37">
        <v>119.3</v>
      </c>
      <c r="V11" s="37">
        <v>119.9</v>
      </c>
      <c r="W11" s="37">
        <v>121.6</v>
      </c>
      <c r="X11" s="37">
        <v>123.1</v>
      </c>
      <c r="Y11" s="37">
        <v>123.9</v>
      </c>
      <c r="Z11" s="37">
        <v>124.4</v>
      </c>
      <c r="AA11" s="37">
        <v>123.5</v>
      </c>
      <c r="AB11" s="37">
        <v>123.8</v>
      </c>
      <c r="AC11" s="37">
        <v>123.7</v>
      </c>
      <c r="AD11" s="37">
        <v>123.2</v>
      </c>
      <c r="AE11" s="37">
        <v>123.9</v>
      </c>
      <c r="AF11" s="37">
        <v>125.1</v>
      </c>
      <c r="AG11" s="37">
        <v>125.4</v>
      </c>
      <c r="AH11" s="37">
        <v>126.4</v>
      </c>
      <c r="AI11" s="37">
        <v>128</v>
      </c>
      <c r="AJ11" s="37">
        <v>131.80000000000001</v>
      </c>
      <c r="AK11" s="37">
        <v>132.5</v>
      </c>
      <c r="AL11" s="37">
        <v>131.4</v>
      </c>
      <c r="AM11" s="37">
        <v>130.4</v>
      </c>
      <c r="AN11" s="37">
        <v>129.80000000000001</v>
      </c>
      <c r="AO11" s="37">
        <v>130.30000000000001</v>
      </c>
      <c r="AP11" s="37">
        <v>131.4</v>
      </c>
      <c r="AQ11" s="37">
        <v>134.1</v>
      </c>
      <c r="AR11" s="37">
        <v>134.19999999999999</v>
      </c>
      <c r="AS11" s="37">
        <v>135.1</v>
      </c>
      <c r="AT11" s="37">
        <v>136.80000000000001</v>
      </c>
      <c r="AU11" s="37">
        <v>139.1</v>
      </c>
      <c r="AV11" s="37">
        <v>140.5</v>
      </c>
      <c r="AW11" s="37">
        <v>141.19999999999999</v>
      </c>
      <c r="AX11" s="37">
        <v>139.30000000000001</v>
      </c>
      <c r="AY11" s="37">
        <v>138</v>
      </c>
      <c r="AZ11" s="37">
        <v>137.9</v>
      </c>
      <c r="BA11" s="37">
        <v>137.80000000000001</v>
      </c>
      <c r="BB11" s="37">
        <v>137.6</v>
      </c>
      <c r="BC11" s="37">
        <v>138.19999999999999</v>
      </c>
      <c r="BD11" s="37">
        <v>138.80000000000001</v>
      </c>
      <c r="BE11" s="37">
        <v>139</v>
      </c>
      <c r="BF11" s="37">
        <v>139.4</v>
      </c>
      <c r="BG11" s="37">
        <v>141.6</v>
      </c>
      <c r="BH11" s="37">
        <v>145.5</v>
      </c>
      <c r="BI11" s="37">
        <v>145.69999999999999</v>
      </c>
      <c r="BJ11" s="37">
        <v>143.4</v>
      </c>
      <c r="BK11" s="37">
        <v>142.4</v>
      </c>
      <c r="BL11" s="37">
        <v>142.19999999999999</v>
      </c>
      <c r="BM11" s="37">
        <v>142.4</v>
      </c>
      <c r="BN11" s="37">
        <v>143.30000000000001</v>
      </c>
      <c r="BO11" s="37">
        <v>144.19999999999999</v>
      </c>
      <c r="BP11" s="37">
        <v>143.5</v>
      </c>
      <c r="BQ11" s="37">
        <v>143.6</v>
      </c>
      <c r="BR11" s="37">
        <v>144.4</v>
      </c>
      <c r="BS11" s="37">
        <v>146.6</v>
      </c>
      <c r="BT11" s="37">
        <v>148.69999999999999</v>
      </c>
      <c r="BU11" s="37">
        <v>149.1</v>
      </c>
      <c r="BV11" s="37">
        <v>148</v>
      </c>
      <c r="BW11" s="37">
        <v>145.80000000000001</v>
      </c>
      <c r="BX11" s="37">
        <v>149.5</v>
      </c>
      <c r="BY11" s="37">
        <v>149.19999999999999</v>
      </c>
      <c r="BZ11" s="37">
        <v>150.5</v>
      </c>
      <c r="CA11" s="37">
        <v>151.4</v>
      </c>
      <c r="CB11" s="37">
        <v>152</v>
      </c>
      <c r="CC11" s="37">
        <v>153</v>
      </c>
      <c r="CD11" s="37">
        <v>155.75</v>
      </c>
      <c r="CE11" s="37">
        <v>158.5</v>
      </c>
      <c r="CF11" s="37">
        <v>162.1</v>
      </c>
      <c r="CG11" s="37">
        <v>162.69999999999999</v>
      </c>
      <c r="CH11" s="37">
        <v>160.6</v>
      </c>
      <c r="CI11" s="37">
        <v>160.80000000000001</v>
      </c>
      <c r="CJ11" s="37">
        <v>161</v>
      </c>
      <c r="CK11" s="37">
        <v>163.19999999999999</v>
      </c>
      <c r="CL11" s="37">
        <v>165</v>
      </c>
      <c r="CM11" s="37">
        <v>167.4</v>
      </c>
      <c r="CN11" s="37">
        <v>167.5</v>
      </c>
      <c r="CO11" s="37">
        <v>167</v>
      </c>
      <c r="CP11" s="37">
        <v>175.56666666666666</v>
      </c>
      <c r="CQ11" s="37">
        <v>184.13333333333333</v>
      </c>
      <c r="CR11" s="37">
        <v>192.7</v>
      </c>
      <c r="CS11" s="37">
        <v>192.7</v>
      </c>
      <c r="CT11" s="37">
        <v>190.9</v>
      </c>
      <c r="CU11" s="37">
        <v>187.1</v>
      </c>
      <c r="CV11" s="37">
        <v>188.9</v>
      </c>
      <c r="CW11" s="37">
        <v>191</v>
      </c>
      <c r="CX11" s="37">
        <v>191</v>
      </c>
      <c r="CY11" s="37">
        <v>190.1</v>
      </c>
      <c r="CZ11" s="37">
        <v>186.5</v>
      </c>
      <c r="DA11" s="37">
        <v>192.2</v>
      </c>
      <c r="DB11" s="37">
        <v>198</v>
      </c>
      <c r="DC11" s="37">
        <v>200.5</v>
      </c>
      <c r="DD11" s="37">
        <v>202</v>
      </c>
      <c r="DE11" s="37">
        <v>206.8</v>
      </c>
      <c r="DF11" s="37">
        <v>204</v>
      </c>
      <c r="DG11" s="37">
        <v>204</v>
      </c>
      <c r="DH11" s="37">
        <v>204.6</v>
      </c>
      <c r="DI11" s="37">
        <v>201.6</v>
      </c>
      <c r="DJ11" s="37">
        <v>198.8</v>
      </c>
      <c r="DK11" s="37">
        <v>198.7</v>
      </c>
      <c r="DL11" s="37">
        <v>200.6</v>
      </c>
      <c r="DM11" s="37">
        <v>210.7</v>
      </c>
      <c r="DN11" s="37">
        <v>211.8</v>
      </c>
      <c r="DO11" s="37">
        <v>217</v>
      </c>
      <c r="DP11" s="37">
        <v>219.4</v>
      </c>
      <c r="DQ11" s="37">
        <v>213</v>
      </c>
      <c r="DR11" s="37">
        <v>206.5</v>
      </c>
      <c r="DS11" s="37">
        <v>209.2</v>
      </c>
      <c r="DT11" s="37">
        <v>210.9</v>
      </c>
      <c r="DU11" s="37">
        <v>209.4</v>
      </c>
      <c r="DV11" s="37">
        <v>209</v>
      </c>
      <c r="DW11" s="37">
        <v>210.7</v>
      </c>
      <c r="DX11" s="37">
        <v>207.7</v>
      </c>
      <c r="DY11" s="37">
        <v>207.7</v>
      </c>
      <c r="DZ11" s="37">
        <v>209.3</v>
      </c>
      <c r="EA11" s="37">
        <v>214.3</v>
      </c>
    </row>
    <row r="12" spans="2:131" x14ac:dyDescent="0.35">
      <c r="D12" s="40" t="s">
        <v>5</v>
      </c>
      <c r="E12" s="37" t="s">
        <v>59</v>
      </c>
      <c r="F12" s="37" t="s">
        <v>34</v>
      </c>
      <c r="G12" s="37">
        <v>110</v>
      </c>
      <c r="H12" s="37">
        <v>112.8</v>
      </c>
      <c r="I12" s="37">
        <v>111.2</v>
      </c>
      <c r="J12" s="37">
        <v>106.6</v>
      </c>
      <c r="K12" s="37">
        <v>104.7</v>
      </c>
      <c r="L12" s="37">
        <v>109.8</v>
      </c>
      <c r="M12" s="37">
        <v>111.9</v>
      </c>
      <c r="N12" s="37">
        <v>111.7</v>
      </c>
      <c r="O12" s="37">
        <v>112.3</v>
      </c>
      <c r="P12" s="37">
        <v>113.3</v>
      </c>
      <c r="Q12" s="37">
        <v>118.7</v>
      </c>
      <c r="R12" s="37">
        <v>123.5</v>
      </c>
      <c r="S12" s="37">
        <v>124.1</v>
      </c>
      <c r="T12" s="37">
        <v>122.5</v>
      </c>
      <c r="U12" s="37">
        <v>121</v>
      </c>
      <c r="V12" s="37">
        <v>116.2</v>
      </c>
      <c r="W12" s="37">
        <v>115.9</v>
      </c>
      <c r="X12" s="37">
        <v>115.8</v>
      </c>
      <c r="Y12" s="37">
        <v>117.8</v>
      </c>
      <c r="Z12" s="37">
        <v>117.3</v>
      </c>
      <c r="AA12" s="37">
        <v>117.3</v>
      </c>
      <c r="AB12" s="37">
        <v>118.1</v>
      </c>
      <c r="AC12" s="37">
        <v>121</v>
      </c>
      <c r="AD12" s="37">
        <v>123.5</v>
      </c>
      <c r="AE12" s="37">
        <v>123.8</v>
      </c>
      <c r="AF12" s="37">
        <v>121.1</v>
      </c>
      <c r="AG12" s="37">
        <v>116.8</v>
      </c>
      <c r="AH12" s="37">
        <v>114.4</v>
      </c>
      <c r="AI12" s="37">
        <v>115</v>
      </c>
      <c r="AJ12" s="37">
        <v>121.6</v>
      </c>
      <c r="AK12" s="37">
        <v>121</v>
      </c>
      <c r="AL12" s="37">
        <v>120.1</v>
      </c>
      <c r="AM12" s="37">
        <v>118.7</v>
      </c>
      <c r="AN12" s="37">
        <v>118.9</v>
      </c>
      <c r="AO12" s="37">
        <v>121.6</v>
      </c>
      <c r="AP12" s="37">
        <v>124.8</v>
      </c>
      <c r="AQ12" s="37">
        <v>128.6</v>
      </c>
      <c r="AR12" s="37">
        <v>128.69999999999999</v>
      </c>
      <c r="AS12" s="37">
        <v>124.6</v>
      </c>
      <c r="AT12" s="37">
        <v>122</v>
      </c>
      <c r="AU12" s="37">
        <v>125.4</v>
      </c>
      <c r="AV12" s="37">
        <v>128.30000000000001</v>
      </c>
      <c r="AW12" s="37">
        <v>132.30000000000001</v>
      </c>
      <c r="AX12" s="37">
        <v>131.6</v>
      </c>
      <c r="AY12" s="37">
        <v>130.5</v>
      </c>
      <c r="AZ12" s="37">
        <v>130.19999999999999</v>
      </c>
      <c r="BA12" s="37">
        <v>132</v>
      </c>
      <c r="BB12" s="37">
        <v>132.9</v>
      </c>
      <c r="BC12" s="37">
        <v>132.19999999999999</v>
      </c>
      <c r="BD12" s="37">
        <v>129.30000000000001</v>
      </c>
      <c r="BE12" s="37">
        <v>128.6</v>
      </c>
      <c r="BF12" s="37">
        <v>126.1</v>
      </c>
      <c r="BG12" s="37">
        <v>126.3</v>
      </c>
      <c r="BH12" s="37">
        <v>128.1</v>
      </c>
      <c r="BI12" s="37">
        <v>129.6</v>
      </c>
      <c r="BJ12" s="37">
        <v>129.30000000000001</v>
      </c>
      <c r="BK12" s="37">
        <v>130.19999999999999</v>
      </c>
      <c r="BL12" s="37">
        <v>131.19999999999999</v>
      </c>
      <c r="BM12" s="37">
        <v>142.9</v>
      </c>
      <c r="BN12" s="37">
        <v>145.19999999999999</v>
      </c>
      <c r="BO12" s="37">
        <v>143.69999999999999</v>
      </c>
      <c r="BP12" s="37">
        <v>140.30000000000001</v>
      </c>
      <c r="BQ12" s="37">
        <v>138.30000000000001</v>
      </c>
      <c r="BR12" s="37">
        <v>133.9</v>
      </c>
      <c r="BS12" s="37">
        <v>133.6</v>
      </c>
      <c r="BT12" s="37">
        <v>135.6</v>
      </c>
      <c r="BU12" s="37">
        <v>139.19999999999999</v>
      </c>
      <c r="BV12" s="37">
        <v>138.1</v>
      </c>
      <c r="BW12" s="37">
        <v>135.1</v>
      </c>
      <c r="BX12" s="37">
        <v>137.30000000000001</v>
      </c>
      <c r="BY12" s="37">
        <v>137.1</v>
      </c>
      <c r="BZ12" s="37">
        <v>138.80000000000001</v>
      </c>
      <c r="CA12" s="37">
        <v>140.19999999999999</v>
      </c>
      <c r="CB12" s="37">
        <v>141.5</v>
      </c>
      <c r="CC12" s="37">
        <v>140.30000000000001</v>
      </c>
      <c r="CD12" s="37">
        <v>138.15</v>
      </c>
      <c r="CE12" s="37">
        <v>136</v>
      </c>
      <c r="CF12" s="37">
        <v>137.80000000000001</v>
      </c>
      <c r="CG12" s="37">
        <v>140</v>
      </c>
      <c r="CH12" s="37">
        <v>138.5</v>
      </c>
      <c r="CI12" s="37">
        <v>139.6</v>
      </c>
      <c r="CJ12" s="37">
        <v>142.6</v>
      </c>
      <c r="CK12" s="37">
        <v>145.6</v>
      </c>
      <c r="CL12" s="37">
        <v>151.1</v>
      </c>
      <c r="CM12" s="37">
        <v>154.9</v>
      </c>
      <c r="CN12" s="37">
        <v>151.80000000000001</v>
      </c>
      <c r="CO12" s="37">
        <v>148.1</v>
      </c>
      <c r="CP12" s="37">
        <v>148.80000000000001</v>
      </c>
      <c r="CQ12" s="37">
        <v>150.10000000000002</v>
      </c>
      <c r="CR12" s="37">
        <v>151.4</v>
      </c>
      <c r="CS12" s="37">
        <v>151.4</v>
      </c>
      <c r="CT12" s="37">
        <v>150.80000000000001</v>
      </c>
      <c r="CU12" s="37">
        <v>152.5</v>
      </c>
      <c r="CV12" s="37">
        <v>161.4</v>
      </c>
      <c r="CW12" s="37">
        <v>173.6</v>
      </c>
      <c r="CX12" s="37">
        <v>175.3</v>
      </c>
      <c r="CY12" s="37">
        <v>175.3</v>
      </c>
      <c r="CZ12" s="37">
        <v>168.7</v>
      </c>
      <c r="DA12" s="37">
        <v>163.80000000000001</v>
      </c>
      <c r="DB12" s="37">
        <v>164.6</v>
      </c>
      <c r="DC12" s="37">
        <v>170.3</v>
      </c>
      <c r="DD12" s="37">
        <v>180.7</v>
      </c>
      <c r="DE12" s="37">
        <v>182.2</v>
      </c>
      <c r="DF12" s="37">
        <v>172.8</v>
      </c>
      <c r="DG12" s="37">
        <v>172.8</v>
      </c>
      <c r="DH12" s="37">
        <v>171.2</v>
      </c>
      <c r="DI12" s="37">
        <v>173</v>
      </c>
      <c r="DJ12" s="37">
        <v>177.9</v>
      </c>
      <c r="DK12" s="37">
        <v>178.8</v>
      </c>
      <c r="DL12" s="37">
        <v>175.8</v>
      </c>
      <c r="DM12" s="37">
        <v>167.8</v>
      </c>
      <c r="DN12" s="37">
        <v>164.5</v>
      </c>
      <c r="DO12" s="37">
        <v>162.4</v>
      </c>
      <c r="DP12" s="37">
        <v>170.8</v>
      </c>
      <c r="DQ12" s="37">
        <v>175.2</v>
      </c>
      <c r="DR12" s="37">
        <v>169.2</v>
      </c>
      <c r="DS12" s="37">
        <v>169.7</v>
      </c>
      <c r="DT12" s="37">
        <v>170.9</v>
      </c>
      <c r="DU12" s="37">
        <v>181.4</v>
      </c>
      <c r="DV12" s="37">
        <v>190.2</v>
      </c>
      <c r="DW12" s="37">
        <v>194.5</v>
      </c>
      <c r="DX12" s="37">
        <v>175.2</v>
      </c>
      <c r="DY12" s="37">
        <v>175.2</v>
      </c>
      <c r="DZ12" s="37">
        <v>169.6</v>
      </c>
      <c r="EA12" s="37">
        <v>173.2</v>
      </c>
    </row>
    <row r="13" spans="2:131" x14ac:dyDescent="0.35">
      <c r="D13" s="40" t="s">
        <v>6</v>
      </c>
      <c r="E13" s="37" t="s">
        <v>59</v>
      </c>
      <c r="F13" s="37" t="s">
        <v>34</v>
      </c>
      <c r="G13" s="37">
        <v>104.4</v>
      </c>
      <c r="H13" s="37">
        <v>104.9</v>
      </c>
      <c r="I13" s="37">
        <v>105.1</v>
      </c>
      <c r="J13" s="37">
        <v>105.7</v>
      </c>
      <c r="K13" s="37">
        <v>106.8</v>
      </c>
      <c r="L13" s="37">
        <v>107.9</v>
      </c>
      <c r="M13" s="37">
        <v>108.9</v>
      </c>
      <c r="N13" s="37">
        <v>109.6</v>
      </c>
      <c r="O13" s="37">
        <v>110.5</v>
      </c>
      <c r="P13" s="37">
        <v>111.2</v>
      </c>
      <c r="Q13" s="37">
        <v>112.5</v>
      </c>
      <c r="R13" s="37">
        <v>113.4</v>
      </c>
      <c r="S13" s="37">
        <v>114.1</v>
      </c>
      <c r="T13" s="37">
        <v>115.1</v>
      </c>
      <c r="U13" s="37">
        <v>116.1</v>
      </c>
      <c r="V13" s="37">
        <v>117</v>
      </c>
      <c r="W13" s="37">
        <v>118.4</v>
      </c>
      <c r="X13" s="37">
        <v>119.7</v>
      </c>
      <c r="Y13" s="37">
        <v>121</v>
      </c>
      <c r="Z13" s="37">
        <v>122</v>
      </c>
      <c r="AA13" s="37">
        <v>122.7</v>
      </c>
      <c r="AB13" s="37">
        <v>123.2</v>
      </c>
      <c r="AC13" s="37">
        <v>124.2</v>
      </c>
      <c r="AD13" s="37">
        <v>124.5</v>
      </c>
      <c r="AE13" s="37">
        <v>125</v>
      </c>
      <c r="AF13" s="37">
        <v>125.7</v>
      </c>
      <c r="AG13" s="37">
        <v>126</v>
      </c>
      <c r="AH13" s="37">
        <v>126.6</v>
      </c>
      <c r="AI13" s="37">
        <v>127.3</v>
      </c>
      <c r="AJ13" s="37">
        <v>128.19999999999999</v>
      </c>
      <c r="AK13" s="37">
        <v>128.30000000000001</v>
      </c>
      <c r="AL13" s="37">
        <v>128.5</v>
      </c>
      <c r="AM13" s="37">
        <v>128.9</v>
      </c>
      <c r="AN13" s="37">
        <v>129.1</v>
      </c>
      <c r="AO13" s="37">
        <v>129.19999999999999</v>
      </c>
      <c r="AP13" s="37">
        <v>129.4</v>
      </c>
      <c r="AQ13" s="37">
        <v>129.9</v>
      </c>
      <c r="AR13" s="37">
        <v>130.30000000000001</v>
      </c>
      <c r="AS13" s="37">
        <v>130.19999999999999</v>
      </c>
      <c r="AT13" s="37">
        <v>130.9</v>
      </c>
      <c r="AU13" s="37">
        <v>131.69999999999999</v>
      </c>
      <c r="AV13" s="37">
        <v>132.6</v>
      </c>
      <c r="AW13" s="37">
        <v>133.5</v>
      </c>
      <c r="AX13" s="37">
        <v>134.1</v>
      </c>
      <c r="AY13" s="37">
        <v>134.4</v>
      </c>
      <c r="AZ13" s="37">
        <v>134.80000000000001</v>
      </c>
      <c r="BA13" s="37">
        <v>135</v>
      </c>
      <c r="BB13" s="37">
        <v>135.1</v>
      </c>
      <c r="BC13" s="37">
        <v>135.4</v>
      </c>
      <c r="BD13" s="37">
        <v>135.80000000000001</v>
      </c>
      <c r="BE13" s="37">
        <v>136.30000000000001</v>
      </c>
      <c r="BF13" s="37">
        <v>137.19999999999999</v>
      </c>
      <c r="BG13" s="37">
        <v>137.69999999999999</v>
      </c>
      <c r="BH13" s="37">
        <v>138.1</v>
      </c>
      <c r="BI13" s="37">
        <v>138.5</v>
      </c>
      <c r="BJ13" s="37">
        <v>139</v>
      </c>
      <c r="BK13" s="37">
        <v>139.6</v>
      </c>
      <c r="BL13" s="37">
        <v>140.6</v>
      </c>
      <c r="BM13" s="37">
        <v>140.80000000000001</v>
      </c>
      <c r="BN13" s="37">
        <v>141</v>
      </c>
      <c r="BO13" s="37">
        <v>141.1</v>
      </c>
      <c r="BP13" s="37">
        <v>140.9</v>
      </c>
      <c r="BQ13" s="37">
        <v>141.19999999999999</v>
      </c>
      <c r="BR13" s="37">
        <v>141.6</v>
      </c>
      <c r="BS13" s="37">
        <v>142.1</v>
      </c>
      <c r="BT13" s="37">
        <v>142.30000000000001</v>
      </c>
      <c r="BU13" s="37">
        <v>142.5</v>
      </c>
      <c r="BV13" s="37">
        <v>142.6</v>
      </c>
      <c r="BW13" s="37">
        <v>142.9</v>
      </c>
      <c r="BX13" s="37">
        <v>141.9</v>
      </c>
      <c r="BY13" s="37">
        <v>141.80000000000001</v>
      </c>
      <c r="BZ13" s="37">
        <v>142.1</v>
      </c>
      <c r="CA13" s="37">
        <v>142.1</v>
      </c>
      <c r="CB13" s="37">
        <v>142.19999999999999</v>
      </c>
      <c r="CC13" s="37">
        <v>142.30000000000001</v>
      </c>
      <c r="CD13" s="37">
        <v>142.4</v>
      </c>
      <c r="CE13" s="37">
        <v>142.5</v>
      </c>
      <c r="CF13" s="37">
        <v>143.30000000000001</v>
      </c>
      <c r="CG13" s="37">
        <v>144</v>
      </c>
      <c r="CH13" s="37">
        <v>144.69999999999999</v>
      </c>
      <c r="CI13" s="37">
        <v>145.4</v>
      </c>
      <c r="CJ13" s="37">
        <v>146.19999999999999</v>
      </c>
      <c r="CK13" s="37">
        <v>146.69999999999999</v>
      </c>
      <c r="CL13" s="37">
        <v>148.30000000000001</v>
      </c>
      <c r="CM13" s="37">
        <v>150.1</v>
      </c>
      <c r="CN13" s="37">
        <v>150.80000000000001</v>
      </c>
      <c r="CO13" s="37">
        <v>151.5</v>
      </c>
      <c r="CP13" s="37">
        <v>155.6</v>
      </c>
      <c r="CQ13" s="37">
        <v>154.44999999999999</v>
      </c>
      <c r="CR13" s="37">
        <v>153.30000000000001</v>
      </c>
      <c r="CS13" s="37">
        <v>153.30000000000001</v>
      </c>
      <c r="CT13" s="37">
        <v>153.30000000000001</v>
      </c>
      <c r="CU13" s="37">
        <v>153.6</v>
      </c>
      <c r="CV13" s="37">
        <v>153.6</v>
      </c>
      <c r="CW13" s="37">
        <v>153.80000000000001</v>
      </c>
      <c r="CX13" s="37">
        <v>154.1</v>
      </c>
      <c r="CY13" s="37">
        <v>154.1</v>
      </c>
      <c r="CZ13" s="37">
        <v>154.69999999999999</v>
      </c>
      <c r="DA13" s="37">
        <v>154.9</v>
      </c>
      <c r="DB13" s="37">
        <v>155.4</v>
      </c>
      <c r="DC13" s="37">
        <v>156.1</v>
      </c>
      <c r="DD13" s="37">
        <v>156.19999999999999</v>
      </c>
      <c r="DE13" s="37">
        <v>157.5</v>
      </c>
      <c r="DF13" s="37">
        <v>158.4</v>
      </c>
      <c r="DG13" s="37">
        <v>158.4</v>
      </c>
      <c r="DH13" s="37">
        <v>158.69999999999999</v>
      </c>
      <c r="DI13" s="37">
        <v>159.30000000000001</v>
      </c>
      <c r="DJ13" s="37">
        <v>159.9</v>
      </c>
      <c r="DK13" s="37">
        <v>160.5</v>
      </c>
      <c r="DL13" s="37">
        <v>160.69999999999999</v>
      </c>
      <c r="DM13" s="37">
        <v>162.19999999999999</v>
      </c>
      <c r="DN13" s="37">
        <v>163.9</v>
      </c>
      <c r="DO13" s="37">
        <v>164.9</v>
      </c>
      <c r="DP13" s="37">
        <v>165.8</v>
      </c>
      <c r="DQ13" s="37">
        <v>166.6</v>
      </c>
      <c r="DR13" s="37">
        <v>168.1</v>
      </c>
      <c r="DS13" s="37">
        <v>169.7</v>
      </c>
      <c r="DT13" s="37">
        <v>170.9</v>
      </c>
      <c r="DU13" s="37">
        <v>172.3</v>
      </c>
      <c r="DV13" s="37">
        <v>173.6</v>
      </c>
      <c r="DW13" s="37">
        <v>174.6</v>
      </c>
      <c r="DX13" s="37">
        <v>177.3</v>
      </c>
      <c r="DY13" s="37">
        <v>177.3</v>
      </c>
      <c r="DZ13" s="37">
        <v>178.4</v>
      </c>
      <c r="EA13" s="37">
        <v>179.5</v>
      </c>
    </row>
    <row r="14" spans="2:131" x14ac:dyDescent="0.35">
      <c r="D14" s="40" t="s">
        <v>7</v>
      </c>
      <c r="E14" s="37" t="s">
        <v>59</v>
      </c>
      <c r="F14" s="37" t="s">
        <v>34</v>
      </c>
      <c r="G14" s="37">
        <v>105.1</v>
      </c>
      <c r="H14" s="37">
        <v>105.5</v>
      </c>
      <c r="I14" s="37">
        <v>104.9</v>
      </c>
      <c r="J14" s="37">
        <v>104.4</v>
      </c>
      <c r="K14" s="37">
        <v>103.9</v>
      </c>
      <c r="L14" s="37">
        <v>104.2</v>
      </c>
      <c r="M14" s="37">
        <v>104.3</v>
      </c>
      <c r="N14" s="37">
        <v>104.5</v>
      </c>
      <c r="O14" s="37">
        <v>105.3</v>
      </c>
      <c r="P14" s="37">
        <v>105.7</v>
      </c>
      <c r="Q14" s="37">
        <v>106.8</v>
      </c>
      <c r="R14" s="37">
        <v>107.3</v>
      </c>
      <c r="S14" s="37">
        <v>106.8</v>
      </c>
      <c r="T14" s="37">
        <v>106.6</v>
      </c>
      <c r="U14" s="37">
        <v>106.9</v>
      </c>
      <c r="V14" s="37">
        <v>107.3</v>
      </c>
      <c r="W14" s="37">
        <v>107.7</v>
      </c>
      <c r="X14" s="37">
        <v>107.8</v>
      </c>
      <c r="Y14" s="37">
        <v>107.9</v>
      </c>
      <c r="Z14" s="37">
        <v>108</v>
      </c>
      <c r="AA14" s="37">
        <v>107.9</v>
      </c>
      <c r="AB14" s="37">
        <v>107.9</v>
      </c>
      <c r="AC14" s="37">
        <v>107.8</v>
      </c>
      <c r="AD14" s="37">
        <v>107.6</v>
      </c>
      <c r="AE14" s="37">
        <v>108.5</v>
      </c>
      <c r="AF14" s="37">
        <v>109.1</v>
      </c>
      <c r="AG14" s="37">
        <v>109.2</v>
      </c>
      <c r="AH14" s="37">
        <v>109.2</v>
      </c>
      <c r="AI14" s="37">
        <v>109.8</v>
      </c>
      <c r="AJ14" s="37">
        <v>111.1</v>
      </c>
      <c r="AK14" s="37">
        <v>110.9</v>
      </c>
      <c r="AL14" s="37">
        <v>111.4</v>
      </c>
      <c r="AM14" s="37">
        <v>111.9</v>
      </c>
      <c r="AN14" s="37">
        <v>113.3</v>
      </c>
      <c r="AO14" s="37">
        <v>114.9</v>
      </c>
      <c r="AP14" s="37">
        <v>115.3</v>
      </c>
      <c r="AQ14" s="37">
        <v>115.5</v>
      </c>
      <c r="AR14" s="37">
        <v>114.8</v>
      </c>
      <c r="AS14" s="37">
        <v>114.5</v>
      </c>
      <c r="AT14" s="37">
        <v>114.8</v>
      </c>
      <c r="AU14" s="37">
        <v>115</v>
      </c>
      <c r="AV14" s="37">
        <v>115.5</v>
      </c>
      <c r="AW14" s="37">
        <v>116.4</v>
      </c>
      <c r="AX14" s="37">
        <v>116.9</v>
      </c>
      <c r="AY14" s="37">
        <v>117.2</v>
      </c>
      <c r="AZ14" s="37">
        <v>117.8</v>
      </c>
      <c r="BA14" s="37">
        <v>118</v>
      </c>
      <c r="BB14" s="37">
        <v>118.6</v>
      </c>
      <c r="BC14" s="37">
        <v>119.1</v>
      </c>
      <c r="BD14" s="37">
        <v>119.2</v>
      </c>
      <c r="BE14" s="37">
        <v>118.8</v>
      </c>
      <c r="BF14" s="37">
        <v>118.4</v>
      </c>
      <c r="BG14" s="37">
        <v>118.1</v>
      </c>
      <c r="BH14" s="37">
        <v>118.2</v>
      </c>
      <c r="BI14" s="37">
        <v>118.1</v>
      </c>
      <c r="BJ14" s="37">
        <v>118.1</v>
      </c>
      <c r="BK14" s="37">
        <v>118.4</v>
      </c>
      <c r="BL14" s="37">
        <v>119</v>
      </c>
      <c r="BM14" s="37">
        <v>119.2</v>
      </c>
      <c r="BN14" s="37">
        <v>120.5</v>
      </c>
      <c r="BO14" s="37">
        <v>120.7</v>
      </c>
      <c r="BP14" s="37">
        <v>120.4</v>
      </c>
      <c r="BQ14" s="37">
        <v>120.7</v>
      </c>
      <c r="BR14" s="37">
        <v>121</v>
      </c>
      <c r="BS14" s="37">
        <v>121</v>
      </c>
      <c r="BT14" s="37">
        <v>121.3</v>
      </c>
      <c r="BU14" s="37">
        <v>121.4</v>
      </c>
      <c r="BV14" s="37">
        <v>122.2</v>
      </c>
      <c r="BW14" s="37">
        <v>122.1</v>
      </c>
      <c r="BX14" s="37">
        <v>121.1</v>
      </c>
      <c r="BY14" s="37">
        <v>121.1</v>
      </c>
      <c r="BZ14" s="37">
        <v>122</v>
      </c>
      <c r="CA14" s="37">
        <v>121.8</v>
      </c>
      <c r="CB14" s="37">
        <v>122</v>
      </c>
      <c r="CC14" s="37">
        <v>122</v>
      </c>
      <c r="CD14" s="37">
        <v>122</v>
      </c>
      <c r="CE14" s="37">
        <v>122</v>
      </c>
      <c r="CF14" s="37">
        <v>122.2</v>
      </c>
      <c r="CG14" s="37">
        <v>122.5</v>
      </c>
      <c r="CH14" s="37">
        <v>122.9</v>
      </c>
      <c r="CI14" s="37">
        <v>123.5</v>
      </c>
      <c r="CJ14" s="37">
        <v>123.9</v>
      </c>
      <c r="CK14" s="37">
        <v>124.3</v>
      </c>
      <c r="CL14" s="37">
        <v>125.7</v>
      </c>
      <c r="CM14" s="37">
        <v>129.9</v>
      </c>
      <c r="CN14" s="37">
        <v>131.4</v>
      </c>
      <c r="CO14" s="37">
        <v>131.19999999999999</v>
      </c>
      <c r="CP14" s="37">
        <v>135.1</v>
      </c>
      <c r="CQ14" s="37">
        <v>135.69999999999999</v>
      </c>
      <c r="CR14" s="37">
        <v>136.30000000000001</v>
      </c>
      <c r="CS14" s="37">
        <v>136.30000000000001</v>
      </c>
      <c r="CT14" s="37">
        <v>137.4</v>
      </c>
      <c r="CU14" s="37">
        <v>138.19999999999999</v>
      </c>
      <c r="CV14" s="37">
        <v>140.1</v>
      </c>
      <c r="CW14" s="37">
        <v>142.69999999999999</v>
      </c>
      <c r="CX14" s="37">
        <v>146.6</v>
      </c>
      <c r="CY14" s="37">
        <v>150.9</v>
      </c>
      <c r="CZ14" s="37">
        <v>158.69999999999999</v>
      </c>
      <c r="DA14" s="37">
        <v>163.9</v>
      </c>
      <c r="DB14" s="37">
        <v>170.1</v>
      </c>
      <c r="DC14" s="37">
        <v>178.7</v>
      </c>
      <c r="DD14" s="37">
        <v>183.7</v>
      </c>
      <c r="DE14" s="37">
        <v>182.1</v>
      </c>
      <c r="DF14" s="37">
        <v>188</v>
      </c>
      <c r="DG14" s="37">
        <v>188</v>
      </c>
      <c r="DH14" s="37">
        <v>190.6</v>
      </c>
      <c r="DI14" s="37">
        <v>190.1</v>
      </c>
      <c r="DJ14" s="37">
        <v>187.6</v>
      </c>
      <c r="DK14" s="37">
        <v>184.7</v>
      </c>
      <c r="DL14" s="37">
        <v>184.9</v>
      </c>
      <c r="DM14" s="37">
        <v>194.6</v>
      </c>
      <c r="DN14" s="37">
        <v>199.5</v>
      </c>
      <c r="DO14" s="37">
        <v>202.4</v>
      </c>
      <c r="DP14" s="37">
        <v>200.9</v>
      </c>
      <c r="DQ14" s="37">
        <v>195.8</v>
      </c>
      <c r="DR14" s="37">
        <v>192.4</v>
      </c>
      <c r="DS14" s="37">
        <v>188.7</v>
      </c>
      <c r="DT14" s="37">
        <v>186.5</v>
      </c>
      <c r="DU14" s="37">
        <v>188.9</v>
      </c>
      <c r="DV14" s="37">
        <v>188.5</v>
      </c>
      <c r="DW14" s="37">
        <v>187.2</v>
      </c>
      <c r="DX14" s="37">
        <v>179.3</v>
      </c>
      <c r="DY14" s="37">
        <v>179.2</v>
      </c>
      <c r="DZ14" s="37">
        <v>174.9</v>
      </c>
      <c r="EA14" s="37">
        <v>170</v>
      </c>
    </row>
    <row r="15" spans="2:131" x14ac:dyDescent="0.35">
      <c r="D15" s="40" t="s">
        <v>8</v>
      </c>
      <c r="E15" s="37" t="s">
        <v>59</v>
      </c>
      <c r="F15" s="37" t="s">
        <v>34</v>
      </c>
      <c r="G15" s="37">
        <v>103.2</v>
      </c>
      <c r="H15" s="37">
        <v>103.6</v>
      </c>
      <c r="I15" s="37">
        <v>105.3</v>
      </c>
      <c r="J15" s="37">
        <v>108.9</v>
      </c>
      <c r="K15" s="37">
        <v>109.3</v>
      </c>
      <c r="L15" s="37">
        <v>110.7</v>
      </c>
      <c r="M15" s="37">
        <v>111.7</v>
      </c>
      <c r="N15" s="37">
        <v>109.8</v>
      </c>
      <c r="O15" s="37">
        <v>107.3</v>
      </c>
      <c r="P15" s="37">
        <v>109.9</v>
      </c>
      <c r="Q15" s="37">
        <v>113.5</v>
      </c>
      <c r="R15" s="37">
        <v>113.3</v>
      </c>
      <c r="S15" s="37">
        <v>113.9</v>
      </c>
      <c r="T15" s="37">
        <v>115.4</v>
      </c>
      <c r="U15" s="37">
        <v>118.7</v>
      </c>
      <c r="V15" s="37">
        <v>126.1</v>
      </c>
      <c r="W15" s="37">
        <v>127.7</v>
      </c>
      <c r="X15" s="37">
        <v>128.30000000000001</v>
      </c>
      <c r="Y15" s="37">
        <v>131.19999999999999</v>
      </c>
      <c r="Z15" s="37">
        <v>131.1</v>
      </c>
      <c r="AA15" s="37">
        <v>127.3</v>
      </c>
      <c r="AB15" s="37">
        <v>126.4</v>
      </c>
      <c r="AC15" s="37">
        <v>125.7</v>
      </c>
      <c r="AD15" s="37">
        <v>125.7</v>
      </c>
      <c r="AE15" s="37">
        <v>126.2</v>
      </c>
      <c r="AF15" s="37">
        <v>125.8</v>
      </c>
      <c r="AG15" s="37">
        <v>127.6</v>
      </c>
      <c r="AH15" s="37">
        <v>132.5</v>
      </c>
      <c r="AI15" s="37">
        <v>132.6</v>
      </c>
      <c r="AJ15" s="37">
        <v>132.80000000000001</v>
      </c>
      <c r="AK15" s="37">
        <v>133.1</v>
      </c>
      <c r="AL15" s="37">
        <v>132.30000000000001</v>
      </c>
      <c r="AM15" s="37">
        <v>128.4</v>
      </c>
      <c r="AN15" s="37">
        <v>129</v>
      </c>
      <c r="AO15" s="37">
        <v>128.19999999999999</v>
      </c>
      <c r="AP15" s="37">
        <v>126.6</v>
      </c>
      <c r="AQ15" s="37">
        <v>125.7</v>
      </c>
      <c r="AR15" s="37">
        <v>124.9</v>
      </c>
      <c r="AS15" s="37">
        <v>126.2</v>
      </c>
      <c r="AT15" s="37">
        <v>134.80000000000001</v>
      </c>
      <c r="AU15" s="37">
        <v>136</v>
      </c>
      <c r="AV15" s="37">
        <v>136.5</v>
      </c>
      <c r="AW15" s="37">
        <v>137.80000000000001</v>
      </c>
      <c r="AX15" s="37">
        <v>138.1</v>
      </c>
      <c r="AY15" s="37">
        <v>136.1</v>
      </c>
      <c r="AZ15" s="37">
        <v>134.69999999999999</v>
      </c>
      <c r="BA15" s="37">
        <v>134.1</v>
      </c>
      <c r="BB15" s="37">
        <v>132.69999999999999</v>
      </c>
      <c r="BC15" s="37">
        <v>133</v>
      </c>
      <c r="BD15" s="37">
        <v>135.30000000000001</v>
      </c>
      <c r="BE15" s="37">
        <v>138.30000000000001</v>
      </c>
      <c r="BF15" s="37">
        <v>139.9</v>
      </c>
      <c r="BG15" s="37">
        <v>137.9</v>
      </c>
      <c r="BH15" s="37">
        <v>139.19999999999999</v>
      </c>
      <c r="BI15" s="37">
        <v>141.80000000000001</v>
      </c>
      <c r="BJ15" s="37">
        <v>145.5</v>
      </c>
      <c r="BK15" s="37">
        <v>143</v>
      </c>
      <c r="BL15" s="37">
        <v>141.5</v>
      </c>
      <c r="BM15" s="37">
        <v>142.19999999999999</v>
      </c>
      <c r="BN15" s="37">
        <v>141.5</v>
      </c>
      <c r="BO15" s="37">
        <v>141.30000000000001</v>
      </c>
      <c r="BP15" s="37">
        <v>142.9</v>
      </c>
      <c r="BQ15" s="37">
        <v>146.19999999999999</v>
      </c>
      <c r="BR15" s="37">
        <v>153.5</v>
      </c>
      <c r="BS15" s="37">
        <v>154.6</v>
      </c>
      <c r="BT15" s="37">
        <v>153.19999999999999</v>
      </c>
      <c r="BU15" s="37">
        <v>151.6</v>
      </c>
      <c r="BV15" s="37">
        <v>150.6</v>
      </c>
      <c r="BW15" s="37">
        <v>145.4</v>
      </c>
      <c r="BX15" s="37">
        <v>142.5</v>
      </c>
      <c r="BY15" s="37">
        <v>142.80000000000001</v>
      </c>
      <c r="BZ15" s="37">
        <v>139.4</v>
      </c>
      <c r="CA15" s="37">
        <v>135.4</v>
      </c>
      <c r="CB15" s="37">
        <v>136.4</v>
      </c>
      <c r="CC15" s="37">
        <v>137.6</v>
      </c>
      <c r="CD15" s="37">
        <v>142.05000000000001</v>
      </c>
      <c r="CE15" s="37">
        <v>146.5</v>
      </c>
      <c r="CF15" s="37">
        <v>146.80000000000001</v>
      </c>
      <c r="CG15" s="37">
        <v>150.30000000000001</v>
      </c>
      <c r="CH15" s="37">
        <v>149.4</v>
      </c>
      <c r="CI15" s="37">
        <v>146.6</v>
      </c>
      <c r="CJ15" s="37">
        <v>148</v>
      </c>
      <c r="CK15" s="37">
        <v>147.4</v>
      </c>
      <c r="CL15" s="37">
        <v>145.69999999999999</v>
      </c>
      <c r="CM15" s="37">
        <v>143.19999999999999</v>
      </c>
      <c r="CN15" s="37">
        <v>141.80000000000001</v>
      </c>
      <c r="CO15" s="37">
        <v>142.5</v>
      </c>
      <c r="CP15" s="37">
        <v>149.9</v>
      </c>
      <c r="CQ15" s="37">
        <v>148.55000000000001</v>
      </c>
      <c r="CR15" s="37">
        <v>147.19999999999999</v>
      </c>
      <c r="CS15" s="37">
        <v>147.19999999999999</v>
      </c>
      <c r="CT15" s="37">
        <v>150.4</v>
      </c>
      <c r="CU15" s="37">
        <v>150.9</v>
      </c>
      <c r="CV15" s="37">
        <v>151.19999999999999</v>
      </c>
      <c r="CW15" s="37">
        <v>148.4</v>
      </c>
      <c r="CX15" s="37">
        <v>147.69999999999999</v>
      </c>
      <c r="CY15" s="37">
        <v>149.6</v>
      </c>
      <c r="CZ15" s="37">
        <v>150.69999999999999</v>
      </c>
      <c r="DA15" s="37">
        <v>153.69999999999999</v>
      </c>
      <c r="DB15" s="37">
        <v>164.4</v>
      </c>
      <c r="DC15" s="37">
        <v>167.1</v>
      </c>
      <c r="DD15" s="37">
        <v>164.6</v>
      </c>
      <c r="DE15" s="37">
        <v>163.9</v>
      </c>
      <c r="DF15" s="37">
        <v>156.80000000000001</v>
      </c>
      <c r="DG15" s="37">
        <v>156.69999999999999</v>
      </c>
      <c r="DH15" s="37">
        <v>155.69999999999999</v>
      </c>
      <c r="DI15" s="37">
        <v>156.5</v>
      </c>
      <c r="DJ15" s="37">
        <v>154.9</v>
      </c>
      <c r="DK15" s="37">
        <v>153.69999999999999</v>
      </c>
      <c r="DL15" s="37">
        <v>153.69999999999999</v>
      </c>
      <c r="DM15" s="37">
        <v>157.6</v>
      </c>
      <c r="DN15" s="37">
        <v>172.6</v>
      </c>
      <c r="DO15" s="37">
        <v>171</v>
      </c>
      <c r="DP15" s="37">
        <v>169.7</v>
      </c>
      <c r="DQ15" s="37">
        <v>174.2</v>
      </c>
      <c r="DR15" s="37">
        <v>172.9</v>
      </c>
      <c r="DS15" s="37">
        <v>165.7</v>
      </c>
      <c r="DT15" s="37">
        <v>163.80000000000001</v>
      </c>
      <c r="DU15" s="37">
        <v>160.69999999999999</v>
      </c>
      <c r="DV15" s="37">
        <v>158</v>
      </c>
      <c r="DW15" s="37">
        <v>158.30000000000001</v>
      </c>
      <c r="DX15" s="37">
        <v>169.5</v>
      </c>
      <c r="DY15" s="37">
        <v>169.5</v>
      </c>
      <c r="DZ15" s="37">
        <v>176.3</v>
      </c>
      <c r="EA15" s="37">
        <v>172.2</v>
      </c>
    </row>
    <row r="16" spans="2:131" x14ac:dyDescent="0.35">
      <c r="D16" s="40" t="s">
        <v>9</v>
      </c>
      <c r="E16" s="37" t="s">
        <v>59</v>
      </c>
      <c r="F16" s="37" t="s">
        <v>34</v>
      </c>
      <c r="G16" s="37">
        <v>102.2</v>
      </c>
      <c r="H16" s="37">
        <v>103.2</v>
      </c>
      <c r="I16" s="37">
        <v>102.2</v>
      </c>
      <c r="J16" s="37">
        <v>105.5</v>
      </c>
      <c r="K16" s="37">
        <v>112.9</v>
      </c>
      <c r="L16" s="37">
        <v>126.7</v>
      </c>
      <c r="M16" s="37">
        <v>140</v>
      </c>
      <c r="N16" s="37">
        <v>151.80000000000001</v>
      </c>
      <c r="O16" s="37">
        <v>160.9</v>
      </c>
      <c r="P16" s="37">
        <v>171.2</v>
      </c>
      <c r="Q16" s="37">
        <v>183.1</v>
      </c>
      <c r="R16" s="37">
        <v>145.4</v>
      </c>
      <c r="S16" s="37">
        <v>122.2</v>
      </c>
      <c r="T16" s="37">
        <v>114.5</v>
      </c>
      <c r="U16" s="37">
        <v>116.3</v>
      </c>
      <c r="V16" s="37">
        <v>120.7</v>
      </c>
      <c r="W16" s="37">
        <v>125</v>
      </c>
      <c r="X16" s="37">
        <v>132.1</v>
      </c>
      <c r="Y16" s="37">
        <v>157.69999999999999</v>
      </c>
      <c r="Z16" s="37">
        <v>168.2</v>
      </c>
      <c r="AA16" s="37">
        <v>162.1</v>
      </c>
      <c r="AB16" s="37">
        <v>156.80000000000001</v>
      </c>
      <c r="AC16" s="37">
        <v>152.4</v>
      </c>
      <c r="AD16" s="37">
        <v>140.5</v>
      </c>
      <c r="AE16" s="37">
        <v>133</v>
      </c>
      <c r="AF16" s="37">
        <v>129.4</v>
      </c>
      <c r="AG16" s="37">
        <v>129.19999999999999</v>
      </c>
      <c r="AH16" s="37">
        <v>128.6</v>
      </c>
      <c r="AI16" s="37">
        <v>130.9</v>
      </c>
      <c r="AJ16" s="37">
        <v>139.1</v>
      </c>
      <c r="AK16" s="37">
        <v>145.1</v>
      </c>
      <c r="AL16" s="37">
        <v>157.6</v>
      </c>
      <c r="AM16" s="37">
        <v>162.19999999999999</v>
      </c>
      <c r="AN16" s="37">
        <v>160.4</v>
      </c>
      <c r="AO16" s="37">
        <v>158.4</v>
      </c>
      <c r="AP16" s="37">
        <v>146.69999999999999</v>
      </c>
      <c r="AQ16" s="37">
        <v>141.5</v>
      </c>
      <c r="AR16" s="37">
        <v>130.30000000000001</v>
      </c>
      <c r="AS16" s="37">
        <v>129.80000000000001</v>
      </c>
      <c r="AT16" s="37">
        <v>135</v>
      </c>
      <c r="AU16" s="37">
        <v>145.1</v>
      </c>
      <c r="AV16" s="37">
        <v>159.69999999999999</v>
      </c>
      <c r="AW16" s="37">
        <v>165.4</v>
      </c>
      <c r="AX16" s="37">
        <v>159.1</v>
      </c>
      <c r="AY16" s="37">
        <v>150.69999999999999</v>
      </c>
      <c r="AZ16" s="37">
        <v>151.19999999999999</v>
      </c>
      <c r="BA16" s="37">
        <v>141.9</v>
      </c>
      <c r="BB16" s="37">
        <v>125.3</v>
      </c>
      <c r="BC16" s="37">
        <v>119.4</v>
      </c>
      <c r="BD16" s="37">
        <v>119.5</v>
      </c>
      <c r="BE16" s="37">
        <v>120.5</v>
      </c>
      <c r="BF16" s="37">
        <v>123.4</v>
      </c>
      <c r="BG16" s="37">
        <v>125.6</v>
      </c>
      <c r="BH16" s="37">
        <v>133.30000000000001</v>
      </c>
      <c r="BI16" s="37">
        <v>159.5</v>
      </c>
      <c r="BJ16" s="37">
        <v>168.6</v>
      </c>
      <c r="BK16" s="37">
        <v>156.6</v>
      </c>
      <c r="BL16" s="37">
        <v>162.6</v>
      </c>
      <c r="BM16" s="37">
        <v>173.8</v>
      </c>
      <c r="BN16" s="37">
        <v>161.69999999999999</v>
      </c>
      <c r="BO16" s="37">
        <v>151.6</v>
      </c>
      <c r="BP16" s="37">
        <v>140.5</v>
      </c>
      <c r="BQ16" s="37">
        <v>134.6</v>
      </c>
      <c r="BR16" s="37">
        <v>132.6</v>
      </c>
      <c r="BS16" s="37">
        <v>135.6</v>
      </c>
      <c r="BT16" s="37">
        <v>143.69999999999999</v>
      </c>
      <c r="BU16" s="37">
        <v>155.9</v>
      </c>
      <c r="BV16" s="37">
        <v>156.6</v>
      </c>
      <c r="BW16" s="37">
        <v>150</v>
      </c>
      <c r="BX16" s="37">
        <v>146.69999999999999</v>
      </c>
      <c r="BY16" s="37">
        <v>146.69999999999999</v>
      </c>
      <c r="BZ16" s="37">
        <v>135.19999999999999</v>
      </c>
      <c r="CA16" s="37">
        <v>131.30000000000001</v>
      </c>
      <c r="CB16" s="37">
        <v>129.69999999999999</v>
      </c>
      <c r="CC16" s="37">
        <v>132.6</v>
      </c>
      <c r="CD16" s="37">
        <v>137.80000000000001</v>
      </c>
      <c r="CE16" s="37">
        <v>143</v>
      </c>
      <c r="CF16" s="37">
        <v>150.5</v>
      </c>
      <c r="CG16" s="37">
        <v>160.30000000000001</v>
      </c>
      <c r="CH16" s="37">
        <v>167.4</v>
      </c>
      <c r="CI16" s="37">
        <v>173.2</v>
      </c>
      <c r="CJ16" s="37">
        <v>188.4</v>
      </c>
      <c r="CK16" s="37">
        <v>199.6</v>
      </c>
      <c r="CL16" s="37">
        <v>217</v>
      </c>
      <c r="CM16" s="37">
        <v>197</v>
      </c>
      <c r="CN16" s="37">
        <v>170.7</v>
      </c>
      <c r="CO16" s="37">
        <v>157.30000000000001</v>
      </c>
      <c r="CP16" s="37">
        <v>168.6</v>
      </c>
      <c r="CQ16" s="37">
        <v>162.55000000000001</v>
      </c>
      <c r="CR16" s="37">
        <v>156.5</v>
      </c>
      <c r="CS16" s="37">
        <v>156.5</v>
      </c>
      <c r="CT16" s="37">
        <v>178.1</v>
      </c>
      <c r="CU16" s="37">
        <v>186.7</v>
      </c>
      <c r="CV16" s="37">
        <v>209.2</v>
      </c>
      <c r="CW16" s="37">
        <v>230</v>
      </c>
      <c r="CX16" s="37">
        <v>230.5</v>
      </c>
      <c r="CY16" s="37">
        <v>194.2</v>
      </c>
      <c r="CZ16" s="37">
        <v>160</v>
      </c>
      <c r="DA16" s="37">
        <v>149.5</v>
      </c>
      <c r="DB16" s="37">
        <v>144.1</v>
      </c>
      <c r="DC16" s="37">
        <v>147.9</v>
      </c>
      <c r="DD16" s="37">
        <v>155.4</v>
      </c>
      <c r="DE16" s="37">
        <v>164.2</v>
      </c>
      <c r="DF16" s="37">
        <v>162.19999999999999</v>
      </c>
      <c r="DG16" s="37">
        <v>162.30000000000001</v>
      </c>
      <c r="DH16" s="37">
        <v>185.3</v>
      </c>
      <c r="DI16" s="37">
        <v>199.2</v>
      </c>
      <c r="DJ16" s="37">
        <v>188.3</v>
      </c>
      <c r="DK16" s="37">
        <v>174.3</v>
      </c>
      <c r="DL16" s="37">
        <v>169.7</v>
      </c>
      <c r="DM16" s="37">
        <v>166.9</v>
      </c>
      <c r="DN16" s="37">
        <v>166.2</v>
      </c>
      <c r="DO16" s="37">
        <v>174.9</v>
      </c>
      <c r="DP16" s="37">
        <v>182.3</v>
      </c>
      <c r="DQ16" s="37">
        <v>182.1</v>
      </c>
      <c r="DR16" s="37">
        <v>186.7</v>
      </c>
      <c r="DS16" s="37">
        <v>191.8</v>
      </c>
      <c r="DT16" s="37">
        <v>199.7</v>
      </c>
      <c r="DU16" s="37">
        <v>183.1</v>
      </c>
      <c r="DV16" s="37">
        <v>159.9</v>
      </c>
      <c r="DW16" s="37">
        <v>153.9</v>
      </c>
      <c r="DX16" s="37">
        <v>152.69999999999999</v>
      </c>
      <c r="DY16" s="37">
        <v>152.80000000000001</v>
      </c>
      <c r="DZ16" s="37">
        <v>155.4</v>
      </c>
      <c r="EA16" s="37">
        <v>161</v>
      </c>
    </row>
    <row r="17" spans="4:131" x14ac:dyDescent="0.35">
      <c r="D17" s="40" t="s">
        <v>10</v>
      </c>
      <c r="E17" s="37" t="s">
        <v>59</v>
      </c>
      <c r="F17" s="37" t="s">
        <v>34</v>
      </c>
      <c r="G17" s="37">
        <v>106</v>
      </c>
      <c r="H17" s="37">
        <v>105.3</v>
      </c>
      <c r="I17" s="37">
        <v>105</v>
      </c>
      <c r="J17" s="37">
        <v>105.3</v>
      </c>
      <c r="K17" s="37">
        <v>105.8</v>
      </c>
      <c r="L17" s="37">
        <v>106.3</v>
      </c>
      <c r="M17" s="37">
        <v>106.4</v>
      </c>
      <c r="N17" s="37">
        <v>106.5</v>
      </c>
      <c r="O17" s="37">
        <v>107.1</v>
      </c>
      <c r="P17" s="37">
        <v>107.3</v>
      </c>
      <c r="Q17" s="37">
        <v>108.2</v>
      </c>
      <c r="R17" s="37">
        <v>108.7</v>
      </c>
      <c r="S17" s="37">
        <v>108.9</v>
      </c>
      <c r="T17" s="37">
        <v>109.3</v>
      </c>
      <c r="U17" s="37">
        <v>109.8</v>
      </c>
      <c r="V17" s="37">
        <v>111</v>
      </c>
      <c r="W17" s="37">
        <v>111.9</v>
      </c>
      <c r="X17" s="37">
        <v>112.4</v>
      </c>
      <c r="Y17" s="37">
        <v>113.2</v>
      </c>
      <c r="Z17" s="37">
        <v>114.5</v>
      </c>
      <c r="AA17" s="37">
        <v>115.6</v>
      </c>
      <c r="AB17" s="37">
        <v>116.1</v>
      </c>
      <c r="AC17" s="37">
        <v>117.2</v>
      </c>
      <c r="AD17" s="37">
        <v>117.6</v>
      </c>
      <c r="AE17" s="37">
        <v>119.1</v>
      </c>
      <c r="AF17" s="37">
        <v>120.9</v>
      </c>
      <c r="AG17" s="37">
        <v>122.4</v>
      </c>
      <c r="AH17" s="37">
        <v>124.8</v>
      </c>
      <c r="AI17" s="37">
        <v>130.5</v>
      </c>
      <c r="AJ17" s="37">
        <v>137.4</v>
      </c>
      <c r="AK17" s="37">
        <v>139.1</v>
      </c>
      <c r="AL17" s="37">
        <v>144</v>
      </c>
      <c r="AM17" s="37">
        <v>150</v>
      </c>
      <c r="AN17" s="37">
        <v>165.3</v>
      </c>
      <c r="AO17" s="37">
        <v>171.2</v>
      </c>
      <c r="AP17" s="37">
        <v>171.5</v>
      </c>
      <c r="AQ17" s="37">
        <v>170.7</v>
      </c>
      <c r="AR17" s="37">
        <v>167.4</v>
      </c>
      <c r="AS17" s="37">
        <v>164.3</v>
      </c>
      <c r="AT17" s="37">
        <v>167.5</v>
      </c>
      <c r="AU17" s="37">
        <v>171.7</v>
      </c>
      <c r="AV17" s="37">
        <v>174.3</v>
      </c>
      <c r="AW17" s="37">
        <v>177.4</v>
      </c>
      <c r="AX17" s="37">
        <v>175.6</v>
      </c>
      <c r="AY17" s="37">
        <v>171.5</v>
      </c>
      <c r="AZ17" s="37">
        <v>172.1</v>
      </c>
      <c r="BA17" s="37">
        <v>171.7</v>
      </c>
      <c r="BB17" s="37">
        <v>168.7</v>
      </c>
      <c r="BC17" s="37">
        <v>159.5</v>
      </c>
      <c r="BD17" s="37">
        <v>152.19999999999999</v>
      </c>
      <c r="BE17" s="37">
        <v>143.9</v>
      </c>
      <c r="BF17" s="37">
        <v>140.9</v>
      </c>
      <c r="BG17" s="37">
        <v>138.30000000000001</v>
      </c>
      <c r="BH17" s="37">
        <v>136.19999999999999</v>
      </c>
      <c r="BI17" s="37">
        <v>133.6</v>
      </c>
      <c r="BJ17" s="37">
        <v>132.69999999999999</v>
      </c>
      <c r="BK17" s="37">
        <v>132.9</v>
      </c>
      <c r="BL17" s="37">
        <v>132.30000000000001</v>
      </c>
      <c r="BM17" s="37">
        <v>131.19999999999999</v>
      </c>
      <c r="BN17" s="37">
        <v>129.1</v>
      </c>
      <c r="BO17" s="37">
        <v>127.3</v>
      </c>
      <c r="BP17" s="37">
        <v>125.8</v>
      </c>
      <c r="BQ17" s="37">
        <v>124.6</v>
      </c>
      <c r="BR17" s="37">
        <v>123.5</v>
      </c>
      <c r="BS17" s="37">
        <v>122.3</v>
      </c>
      <c r="BT17" s="37">
        <v>121.4</v>
      </c>
      <c r="BU17" s="37">
        <v>121.7</v>
      </c>
      <c r="BV17" s="37">
        <v>122.4</v>
      </c>
      <c r="BW17" s="37">
        <v>121.4</v>
      </c>
      <c r="BX17" s="37">
        <v>119.1</v>
      </c>
      <c r="BY17" s="37">
        <v>119.1</v>
      </c>
      <c r="BZ17" s="37">
        <v>119.8</v>
      </c>
      <c r="CA17" s="37">
        <v>120.3</v>
      </c>
      <c r="CB17" s="37">
        <v>121</v>
      </c>
      <c r="CC17" s="37">
        <v>121.8</v>
      </c>
      <c r="CD17" s="37">
        <v>123.35</v>
      </c>
      <c r="CE17" s="37">
        <v>124.9</v>
      </c>
      <c r="CF17" s="37">
        <v>128.30000000000001</v>
      </c>
      <c r="CG17" s="37">
        <v>130</v>
      </c>
      <c r="CH17" s="37">
        <v>130.9</v>
      </c>
      <c r="CI17" s="37">
        <v>131.6</v>
      </c>
      <c r="CJ17" s="37">
        <v>132.5</v>
      </c>
      <c r="CK17" s="37">
        <v>135.69999999999999</v>
      </c>
      <c r="CL17" s="37">
        <v>138.30000000000001</v>
      </c>
      <c r="CM17" s="37">
        <v>140.4</v>
      </c>
      <c r="CN17" s="37">
        <v>141.1</v>
      </c>
      <c r="CO17" s="37">
        <v>141.1</v>
      </c>
      <c r="CP17" s="37">
        <v>150.4</v>
      </c>
      <c r="CQ17" s="37">
        <v>150.65</v>
      </c>
      <c r="CR17" s="37">
        <v>150.9</v>
      </c>
      <c r="CS17" s="37">
        <v>150.9</v>
      </c>
      <c r="CT17" s="37">
        <v>150.4</v>
      </c>
      <c r="CU17" s="37">
        <v>149.80000000000001</v>
      </c>
      <c r="CV17" s="37">
        <v>150.9</v>
      </c>
      <c r="CW17" s="37">
        <v>156.80000000000001</v>
      </c>
      <c r="CX17" s="37">
        <v>160.19999999999999</v>
      </c>
      <c r="CY17" s="37">
        <v>160.4</v>
      </c>
      <c r="CZ17" s="37">
        <v>158.80000000000001</v>
      </c>
      <c r="DA17" s="37">
        <v>159.80000000000001</v>
      </c>
      <c r="DB17" s="37">
        <v>161.69999999999999</v>
      </c>
      <c r="DC17" s="37">
        <v>165.4</v>
      </c>
      <c r="DD17" s="37">
        <v>166</v>
      </c>
      <c r="DE17" s="37">
        <v>164</v>
      </c>
      <c r="DF17" s="37">
        <v>164.1</v>
      </c>
      <c r="DG17" s="37">
        <v>164.1</v>
      </c>
      <c r="DH17" s="37">
        <v>165.2</v>
      </c>
      <c r="DI17" s="37">
        <v>165.3</v>
      </c>
      <c r="DJ17" s="37">
        <v>164.4</v>
      </c>
      <c r="DK17" s="37">
        <v>163.9</v>
      </c>
      <c r="DL17" s="37">
        <v>163.69999999999999</v>
      </c>
      <c r="DM17" s="37">
        <v>163.9</v>
      </c>
      <c r="DN17" s="37">
        <v>164.7</v>
      </c>
      <c r="DO17" s="37">
        <v>164.7</v>
      </c>
      <c r="DP17" s="37">
        <v>164.3</v>
      </c>
      <c r="DQ17" s="37">
        <v>164.3</v>
      </c>
      <c r="DR17" s="37">
        <v>167.2</v>
      </c>
      <c r="DS17" s="37">
        <v>169.1</v>
      </c>
      <c r="DT17" s="37">
        <v>169.8</v>
      </c>
      <c r="DU17" s="37">
        <v>170.5</v>
      </c>
      <c r="DV17" s="37">
        <v>170.8</v>
      </c>
      <c r="DW17" s="37">
        <v>170.9</v>
      </c>
      <c r="DX17" s="37">
        <v>171</v>
      </c>
      <c r="DY17" s="37">
        <v>171.1</v>
      </c>
      <c r="DZ17" s="37">
        <v>173.4</v>
      </c>
      <c r="EA17" s="37">
        <v>175.6</v>
      </c>
    </row>
    <row r="18" spans="4:131" x14ac:dyDescent="0.35">
      <c r="D18" s="40" t="s">
        <v>11</v>
      </c>
      <c r="E18" s="37" t="s">
        <v>59</v>
      </c>
      <c r="F18" s="37" t="s">
        <v>34</v>
      </c>
      <c r="G18" s="37">
        <v>106.2</v>
      </c>
      <c r="H18" s="37">
        <v>105.1</v>
      </c>
      <c r="I18" s="37">
        <v>104.2</v>
      </c>
      <c r="J18" s="37">
        <v>103.5</v>
      </c>
      <c r="K18" s="37">
        <v>103.1</v>
      </c>
      <c r="L18" s="37">
        <v>103.2</v>
      </c>
      <c r="M18" s="37">
        <v>103.3</v>
      </c>
      <c r="N18" s="37">
        <v>103.1</v>
      </c>
      <c r="O18" s="37">
        <v>103.1</v>
      </c>
      <c r="P18" s="37">
        <v>102.7</v>
      </c>
      <c r="Q18" s="37">
        <v>102.2</v>
      </c>
      <c r="R18" s="37">
        <v>101.5</v>
      </c>
      <c r="S18" s="37">
        <v>100.2</v>
      </c>
      <c r="T18" s="37">
        <v>99.2</v>
      </c>
      <c r="U18" s="37">
        <v>99.6</v>
      </c>
      <c r="V18" s="37">
        <v>101.8</v>
      </c>
      <c r="W18" s="37">
        <v>102.8</v>
      </c>
      <c r="X18" s="37">
        <v>102.9</v>
      </c>
      <c r="Y18" s="37">
        <v>104.1</v>
      </c>
      <c r="Z18" s="37">
        <v>104.3</v>
      </c>
      <c r="AA18" s="37">
        <v>103.8</v>
      </c>
      <c r="AB18" s="37">
        <v>103.1</v>
      </c>
      <c r="AC18" s="37">
        <v>102.1</v>
      </c>
      <c r="AD18" s="37">
        <v>100.6</v>
      </c>
      <c r="AE18" s="37">
        <v>99</v>
      </c>
      <c r="AF18" s="37">
        <v>98.3</v>
      </c>
      <c r="AG18" s="37">
        <v>97</v>
      </c>
      <c r="AH18" s="37">
        <v>95.7</v>
      </c>
      <c r="AI18" s="37">
        <v>95.3</v>
      </c>
      <c r="AJ18" s="37">
        <v>94.1</v>
      </c>
      <c r="AK18" s="37">
        <v>91.3</v>
      </c>
      <c r="AL18" s="37">
        <v>90.5</v>
      </c>
      <c r="AM18" s="37">
        <v>90.4</v>
      </c>
      <c r="AN18" s="37">
        <v>92.3</v>
      </c>
      <c r="AO18" s="37">
        <v>93.3</v>
      </c>
      <c r="AP18" s="37">
        <v>94.5</v>
      </c>
      <c r="AQ18" s="37">
        <v>97.4</v>
      </c>
      <c r="AR18" s="37">
        <v>98.8</v>
      </c>
      <c r="AS18" s="37">
        <v>100.9</v>
      </c>
      <c r="AT18" s="37">
        <v>106.4</v>
      </c>
      <c r="AU18" s="37">
        <v>108.7</v>
      </c>
      <c r="AV18" s="37">
        <v>109.9</v>
      </c>
      <c r="AW18" s="37">
        <v>111.3</v>
      </c>
      <c r="AX18" s="37">
        <v>112.9</v>
      </c>
      <c r="AY18" s="37">
        <v>113.8</v>
      </c>
      <c r="AZ18" s="37">
        <v>114.1</v>
      </c>
      <c r="BA18" s="37">
        <v>114.1</v>
      </c>
      <c r="BB18" s="37">
        <v>114.4</v>
      </c>
      <c r="BC18" s="37">
        <v>115.6</v>
      </c>
      <c r="BD18" s="37">
        <v>117.3</v>
      </c>
      <c r="BE18" s="37">
        <v>118</v>
      </c>
      <c r="BF18" s="37">
        <v>118.5</v>
      </c>
      <c r="BG18" s="37">
        <v>119.4</v>
      </c>
      <c r="BH18" s="37">
        <v>119.6</v>
      </c>
      <c r="BI18" s="37">
        <v>120.5</v>
      </c>
      <c r="BJ18" s="37">
        <v>121.2</v>
      </c>
      <c r="BK18" s="37">
        <v>121.5</v>
      </c>
      <c r="BL18" s="37">
        <v>121.8</v>
      </c>
      <c r="BM18" s="37">
        <v>123</v>
      </c>
      <c r="BN18" s="37">
        <v>121.5</v>
      </c>
      <c r="BO18" s="37">
        <v>118.8</v>
      </c>
      <c r="BP18" s="37">
        <v>117.1</v>
      </c>
      <c r="BQ18" s="37">
        <v>116.1</v>
      </c>
      <c r="BR18" s="37">
        <v>113.7</v>
      </c>
      <c r="BS18" s="37">
        <v>109.6</v>
      </c>
      <c r="BT18" s="37">
        <v>111.1</v>
      </c>
      <c r="BU18" s="37">
        <v>113.5</v>
      </c>
      <c r="BV18" s="37">
        <v>114.7</v>
      </c>
      <c r="BW18" s="37">
        <v>113.7</v>
      </c>
      <c r="BX18" s="37">
        <v>111.9</v>
      </c>
      <c r="BY18" s="37">
        <v>111.9</v>
      </c>
      <c r="BZ18" s="37">
        <v>110.3</v>
      </c>
      <c r="CA18" s="37">
        <v>109.1</v>
      </c>
      <c r="CB18" s="37">
        <v>109</v>
      </c>
      <c r="CC18" s="37">
        <v>109</v>
      </c>
      <c r="CD18" s="37">
        <v>109.45</v>
      </c>
      <c r="CE18" s="37">
        <v>109.9</v>
      </c>
      <c r="CF18" s="37">
        <v>111</v>
      </c>
      <c r="CG18" s="37">
        <v>111.1</v>
      </c>
      <c r="CH18" s="37">
        <v>112</v>
      </c>
      <c r="CI18" s="37">
        <v>113.2</v>
      </c>
      <c r="CJ18" s="37">
        <v>114</v>
      </c>
      <c r="CK18" s="37">
        <v>114.2</v>
      </c>
      <c r="CL18" s="37">
        <v>114</v>
      </c>
      <c r="CM18" s="37">
        <v>114.1</v>
      </c>
      <c r="CN18" s="37">
        <v>113.6</v>
      </c>
      <c r="CO18" s="37">
        <v>113.2</v>
      </c>
      <c r="CP18" s="37">
        <v>120.3</v>
      </c>
      <c r="CQ18" s="37">
        <v>117.25</v>
      </c>
      <c r="CR18" s="37">
        <v>114.2</v>
      </c>
      <c r="CS18" s="37">
        <v>114.2</v>
      </c>
      <c r="CT18" s="37">
        <v>115.1</v>
      </c>
      <c r="CU18" s="37">
        <v>116.4</v>
      </c>
      <c r="CV18" s="37">
        <v>116.2</v>
      </c>
      <c r="CW18" s="37">
        <v>115.7</v>
      </c>
      <c r="CX18" s="37">
        <v>115.3</v>
      </c>
      <c r="CY18" s="37">
        <v>114.6</v>
      </c>
      <c r="CZ18" s="37">
        <v>112.8</v>
      </c>
      <c r="DA18" s="37">
        <v>112.6</v>
      </c>
      <c r="DB18" s="37">
        <v>113.1</v>
      </c>
      <c r="DC18" s="37">
        <v>114.8</v>
      </c>
      <c r="DD18" s="37">
        <v>115.1</v>
      </c>
      <c r="DE18" s="37">
        <v>114.5</v>
      </c>
      <c r="DF18" s="37">
        <v>119.7</v>
      </c>
      <c r="DG18" s="37">
        <v>119.7</v>
      </c>
      <c r="DH18" s="37">
        <v>121.9</v>
      </c>
      <c r="DI18" s="37">
        <v>122.4</v>
      </c>
      <c r="DJ18" s="37">
        <v>121</v>
      </c>
      <c r="DK18" s="37">
        <v>120</v>
      </c>
      <c r="DL18" s="37">
        <v>118.9</v>
      </c>
      <c r="DM18" s="37">
        <v>118.8</v>
      </c>
      <c r="DN18" s="37">
        <v>119</v>
      </c>
      <c r="DO18" s="37">
        <v>119.7</v>
      </c>
      <c r="DP18" s="37">
        <v>119.9</v>
      </c>
      <c r="DQ18" s="37">
        <v>120</v>
      </c>
      <c r="DR18" s="37">
        <v>120.9</v>
      </c>
      <c r="DS18" s="37">
        <v>121.6</v>
      </c>
      <c r="DT18" s="37">
        <v>121.9</v>
      </c>
      <c r="DU18" s="37">
        <v>122.1</v>
      </c>
      <c r="DV18" s="37">
        <v>121.8</v>
      </c>
      <c r="DW18" s="37">
        <v>121.1</v>
      </c>
      <c r="DX18" s="37">
        <v>120</v>
      </c>
      <c r="DY18" s="37">
        <v>120</v>
      </c>
      <c r="DZ18" s="37">
        <v>121.3</v>
      </c>
      <c r="EA18" s="37">
        <v>122.7</v>
      </c>
    </row>
    <row r="19" spans="4:131" x14ac:dyDescent="0.35">
      <c r="D19" s="40" t="s">
        <v>12</v>
      </c>
      <c r="E19" s="37" t="s">
        <v>59</v>
      </c>
      <c r="F19" s="37" t="s">
        <v>34</v>
      </c>
      <c r="G19" s="37">
        <v>102.7</v>
      </c>
      <c r="H19" s="37">
        <v>102.8</v>
      </c>
      <c r="I19" s="37">
        <v>103</v>
      </c>
      <c r="J19" s="37">
        <v>103.3</v>
      </c>
      <c r="K19" s="37">
        <v>104.3</v>
      </c>
      <c r="L19" s="37">
        <v>105.7</v>
      </c>
      <c r="M19" s="37">
        <v>106.8</v>
      </c>
      <c r="N19" s="37">
        <v>107.4</v>
      </c>
      <c r="O19" s="37">
        <v>108.3</v>
      </c>
      <c r="P19" s="37">
        <v>108.7</v>
      </c>
      <c r="Q19" s="37">
        <v>109.4</v>
      </c>
      <c r="R19" s="37">
        <v>110.5</v>
      </c>
      <c r="S19" s="37">
        <v>111</v>
      </c>
      <c r="T19" s="37">
        <v>111.4</v>
      </c>
      <c r="U19" s="37">
        <v>111.8</v>
      </c>
      <c r="V19" s="37">
        <v>112.6</v>
      </c>
      <c r="W19" s="37">
        <v>113.4</v>
      </c>
      <c r="X19" s="37">
        <v>114.3</v>
      </c>
      <c r="Y19" s="37">
        <v>115.5</v>
      </c>
      <c r="Z19" s="37">
        <v>117.1</v>
      </c>
      <c r="AA19" s="37">
        <v>117.6</v>
      </c>
      <c r="AB19" s="37">
        <v>118.1</v>
      </c>
      <c r="AC19" s="37">
        <v>118.7</v>
      </c>
      <c r="AD19" s="37">
        <v>119.1</v>
      </c>
      <c r="AE19" s="37">
        <v>120.3</v>
      </c>
      <c r="AF19" s="37">
        <v>121.6</v>
      </c>
      <c r="AG19" s="37">
        <v>122.1</v>
      </c>
      <c r="AH19" s="37">
        <v>122.4</v>
      </c>
      <c r="AI19" s="37">
        <v>123.4</v>
      </c>
      <c r="AJ19" s="37">
        <v>125.5</v>
      </c>
      <c r="AK19" s="37">
        <v>126.1</v>
      </c>
      <c r="AL19" s="37">
        <v>126.8</v>
      </c>
      <c r="AM19" s="37">
        <v>128.4</v>
      </c>
      <c r="AN19" s="37">
        <v>129.69999999999999</v>
      </c>
      <c r="AO19" s="37">
        <v>131.19999999999999</v>
      </c>
      <c r="AP19" s="37">
        <v>132.1</v>
      </c>
      <c r="AQ19" s="37">
        <v>132.9</v>
      </c>
      <c r="AR19" s="37">
        <v>133.6</v>
      </c>
      <c r="AS19" s="37">
        <v>133.9</v>
      </c>
      <c r="AT19" s="37">
        <v>134.4</v>
      </c>
      <c r="AU19" s="37">
        <v>135.30000000000001</v>
      </c>
      <c r="AV19" s="37">
        <v>136.30000000000001</v>
      </c>
      <c r="AW19" s="37">
        <v>137.5</v>
      </c>
      <c r="AX19" s="37">
        <v>138.1</v>
      </c>
      <c r="AY19" s="37">
        <v>138.80000000000001</v>
      </c>
      <c r="AZ19" s="37">
        <v>139.30000000000001</v>
      </c>
      <c r="BA19" s="37">
        <v>139.69999999999999</v>
      </c>
      <c r="BB19" s="37">
        <v>140.19999999999999</v>
      </c>
      <c r="BC19" s="37">
        <v>139.6</v>
      </c>
      <c r="BD19" s="37">
        <v>138.69999999999999</v>
      </c>
      <c r="BE19" s="37">
        <v>137.9</v>
      </c>
      <c r="BF19" s="37">
        <v>136.5</v>
      </c>
      <c r="BG19" s="37">
        <v>136</v>
      </c>
      <c r="BH19" s="37">
        <v>135.30000000000001</v>
      </c>
      <c r="BI19" s="37">
        <v>135.19999999999999</v>
      </c>
      <c r="BJ19" s="37">
        <v>135.6</v>
      </c>
      <c r="BK19" s="37">
        <v>135.6</v>
      </c>
      <c r="BL19" s="37">
        <v>136.30000000000001</v>
      </c>
      <c r="BM19" s="37">
        <v>136.80000000000001</v>
      </c>
      <c r="BN19" s="37">
        <v>137.1</v>
      </c>
      <c r="BO19" s="37">
        <v>137.5</v>
      </c>
      <c r="BP19" s="37">
        <v>137.30000000000001</v>
      </c>
      <c r="BQ19" s="37">
        <v>137.80000000000001</v>
      </c>
      <c r="BR19" s="37">
        <v>138.19999999999999</v>
      </c>
      <c r="BS19" s="37">
        <v>138.1</v>
      </c>
      <c r="BT19" s="37">
        <v>138.4</v>
      </c>
      <c r="BU19" s="37">
        <v>138.9</v>
      </c>
      <c r="BV19" s="37">
        <v>139.4</v>
      </c>
      <c r="BW19" s="37">
        <v>139.5</v>
      </c>
      <c r="BX19" s="37">
        <v>141</v>
      </c>
      <c r="BY19" s="37">
        <v>140.9</v>
      </c>
      <c r="BZ19" s="37">
        <v>140.6</v>
      </c>
      <c r="CA19" s="37">
        <v>139.4</v>
      </c>
      <c r="CB19" s="37">
        <v>139.69999999999999</v>
      </c>
      <c r="CC19" s="37">
        <v>139.5</v>
      </c>
      <c r="CD19" s="37">
        <v>139.69999999999999</v>
      </c>
      <c r="CE19" s="37">
        <v>139.9</v>
      </c>
      <c r="CF19" s="37">
        <v>140.6</v>
      </c>
      <c r="CG19" s="37">
        <v>141.69999999999999</v>
      </c>
      <c r="CH19" s="37">
        <v>142.6</v>
      </c>
      <c r="CI19" s="37">
        <v>144.1</v>
      </c>
      <c r="CJ19" s="37">
        <v>145.4</v>
      </c>
      <c r="CK19" s="37">
        <v>147</v>
      </c>
      <c r="CL19" s="37">
        <v>148.69999999999999</v>
      </c>
      <c r="CM19" s="37">
        <v>150.9</v>
      </c>
      <c r="CN19" s="37">
        <v>152</v>
      </c>
      <c r="CO19" s="37">
        <v>153.19999999999999</v>
      </c>
      <c r="CP19" s="37">
        <v>157.1</v>
      </c>
      <c r="CQ19" s="37">
        <v>158.30000000000001</v>
      </c>
      <c r="CR19" s="37">
        <v>159.5</v>
      </c>
      <c r="CS19" s="37">
        <v>159.5</v>
      </c>
      <c r="CT19" s="37">
        <v>160</v>
      </c>
      <c r="CU19" s="37">
        <v>160.30000000000001</v>
      </c>
      <c r="CV19" s="37">
        <v>161</v>
      </c>
      <c r="CW19" s="37">
        <v>161.80000000000001</v>
      </c>
      <c r="CX19" s="37">
        <v>163</v>
      </c>
      <c r="CY19" s="37">
        <v>164</v>
      </c>
      <c r="CZ19" s="37">
        <v>164.2</v>
      </c>
      <c r="DA19" s="37">
        <v>163.5</v>
      </c>
      <c r="DB19" s="37">
        <v>163.9</v>
      </c>
      <c r="DC19" s="37">
        <v>168.2</v>
      </c>
      <c r="DD19" s="37">
        <v>168.5</v>
      </c>
      <c r="DE19" s="37">
        <v>168.3</v>
      </c>
      <c r="DF19" s="37">
        <v>168.8</v>
      </c>
      <c r="DG19" s="37">
        <v>168.8</v>
      </c>
      <c r="DH19" s="37">
        <v>169.3</v>
      </c>
      <c r="DI19" s="37">
        <v>169.6</v>
      </c>
      <c r="DJ19" s="37">
        <v>170.5</v>
      </c>
      <c r="DK19" s="37">
        <v>172.1</v>
      </c>
      <c r="DL19" s="37">
        <v>174.3</v>
      </c>
      <c r="DM19" s="37">
        <v>177.4</v>
      </c>
      <c r="DN19" s="37">
        <v>181.3</v>
      </c>
      <c r="DO19" s="37">
        <v>184.9</v>
      </c>
      <c r="DP19" s="37">
        <v>187.1</v>
      </c>
      <c r="DQ19" s="37">
        <v>190</v>
      </c>
      <c r="DR19" s="37">
        <v>193.6</v>
      </c>
      <c r="DS19" s="37">
        <v>197.3</v>
      </c>
      <c r="DT19" s="37">
        <v>199.9</v>
      </c>
      <c r="DU19" s="37">
        <v>202.8</v>
      </c>
      <c r="DV19" s="37">
        <v>205.2</v>
      </c>
      <c r="DW19" s="37">
        <v>208.4</v>
      </c>
      <c r="DX19" s="37">
        <v>209.7</v>
      </c>
      <c r="DY19" s="37">
        <v>209.7</v>
      </c>
      <c r="DZ19" s="37">
        <v>212.9</v>
      </c>
      <c r="EA19" s="37">
        <v>218</v>
      </c>
    </row>
    <row r="20" spans="4:131" x14ac:dyDescent="0.35">
      <c r="D20" s="40" t="s">
        <v>13</v>
      </c>
      <c r="E20" s="37" t="s">
        <v>59</v>
      </c>
      <c r="F20" s="37" t="s">
        <v>34</v>
      </c>
      <c r="G20" s="37">
        <v>104.9</v>
      </c>
      <c r="H20" s="37">
        <v>105.5</v>
      </c>
      <c r="I20" s="37">
        <v>106.2</v>
      </c>
      <c r="J20" s="37">
        <v>107.2</v>
      </c>
      <c r="K20" s="37">
        <v>108.1</v>
      </c>
      <c r="L20" s="37">
        <v>109</v>
      </c>
      <c r="M20" s="37">
        <v>109.6</v>
      </c>
      <c r="N20" s="37">
        <v>110.2</v>
      </c>
      <c r="O20" s="37">
        <v>110.7</v>
      </c>
      <c r="P20" s="37">
        <v>111.2</v>
      </c>
      <c r="Q20" s="37">
        <v>111.8</v>
      </c>
      <c r="R20" s="37">
        <v>112.1</v>
      </c>
      <c r="S20" s="37">
        <v>112.3</v>
      </c>
      <c r="T20" s="37">
        <v>112.6</v>
      </c>
      <c r="U20" s="37">
        <v>112.7</v>
      </c>
      <c r="V20" s="37">
        <v>113.2</v>
      </c>
      <c r="W20" s="37">
        <v>113.7</v>
      </c>
      <c r="X20" s="37">
        <v>114.2</v>
      </c>
      <c r="Y20" s="37">
        <v>114.8</v>
      </c>
      <c r="Z20" s="37">
        <v>115.2</v>
      </c>
      <c r="AA20" s="37">
        <v>115.8</v>
      </c>
      <c r="AB20" s="37">
        <v>116.1</v>
      </c>
      <c r="AC20" s="37">
        <v>116.4</v>
      </c>
      <c r="AD20" s="37">
        <v>116.8</v>
      </c>
      <c r="AE20" s="37">
        <v>117.3</v>
      </c>
      <c r="AF20" s="37">
        <v>118</v>
      </c>
      <c r="AG20" s="37">
        <v>118.1</v>
      </c>
      <c r="AH20" s="37">
        <v>118.5</v>
      </c>
      <c r="AI20" s="37">
        <v>119.2</v>
      </c>
      <c r="AJ20" s="37">
        <v>119.8</v>
      </c>
      <c r="AK20" s="37">
        <v>119.9</v>
      </c>
      <c r="AL20" s="37">
        <v>120.4</v>
      </c>
      <c r="AM20" s="37">
        <v>120.7</v>
      </c>
      <c r="AN20" s="37">
        <v>121.1</v>
      </c>
      <c r="AO20" s="37">
        <v>121.7</v>
      </c>
      <c r="AP20" s="37">
        <v>122</v>
      </c>
      <c r="AQ20" s="37">
        <v>122.7</v>
      </c>
      <c r="AR20" s="37">
        <v>123</v>
      </c>
      <c r="AS20" s="37">
        <v>123.1</v>
      </c>
      <c r="AT20" s="37">
        <v>123.6</v>
      </c>
      <c r="AU20" s="37">
        <v>124.2</v>
      </c>
      <c r="AV20" s="37">
        <v>124.4</v>
      </c>
      <c r="AW20" s="37">
        <v>125</v>
      </c>
      <c r="AX20" s="37">
        <v>125.5</v>
      </c>
      <c r="AY20" s="37">
        <v>126</v>
      </c>
      <c r="AZ20" s="37">
        <v>126.1</v>
      </c>
      <c r="BA20" s="37">
        <v>126.2</v>
      </c>
      <c r="BB20" s="37">
        <v>126.6</v>
      </c>
      <c r="BC20" s="37">
        <v>126.6</v>
      </c>
      <c r="BD20" s="37">
        <v>126.9</v>
      </c>
      <c r="BE20" s="37">
        <v>127.2</v>
      </c>
      <c r="BF20" s="37">
        <v>127.4</v>
      </c>
      <c r="BG20" s="37">
        <v>127.6</v>
      </c>
      <c r="BH20" s="37">
        <v>127.8</v>
      </c>
      <c r="BI20" s="37">
        <v>128.5</v>
      </c>
      <c r="BJ20" s="37">
        <v>128.69999999999999</v>
      </c>
      <c r="BK20" s="37">
        <v>128.80000000000001</v>
      </c>
      <c r="BL20" s="37">
        <v>128.69999999999999</v>
      </c>
      <c r="BM20" s="37">
        <v>129.19999999999999</v>
      </c>
      <c r="BN20" s="37">
        <v>128.80000000000001</v>
      </c>
      <c r="BO20" s="37">
        <v>129</v>
      </c>
      <c r="BP20" s="37">
        <v>128.6</v>
      </c>
      <c r="BQ20" s="37">
        <v>129.1</v>
      </c>
      <c r="BR20" s="37">
        <v>129.6</v>
      </c>
      <c r="BS20" s="37">
        <v>129.9</v>
      </c>
      <c r="BT20" s="37">
        <v>130.30000000000001</v>
      </c>
      <c r="BU20" s="37">
        <v>130.30000000000001</v>
      </c>
      <c r="BV20" s="37">
        <v>131.1</v>
      </c>
      <c r="BW20" s="37">
        <v>130.80000000000001</v>
      </c>
      <c r="BX20" s="37">
        <v>133.6</v>
      </c>
      <c r="BY20" s="37">
        <v>133.5</v>
      </c>
      <c r="BZ20" s="37">
        <v>133.80000000000001</v>
      </c>
      <c r="CA20" s="37">
        <v>133.30000000000001</v>
      </c>
      <c r="CB20" s="37">
        <v>133.6</v>
      </c>
      <c r="CC20" s="37">
        <v>133.69999999999999</v>
      </c>
      <c r="CD20" s="37">
        <v>133.85</v>
      </c>
      <c r="CE20" s="37">
        <v>134</v>
      </c>
      <c r="CF20" s="37">
        <v>134.19999999999999</v>
      </c>
      <c r="CG20" s="37">
        <v>134.69999999999999</v>
      </c>
      <c r="CH20" s="37">
        <v>134.9</v>
      </c>
      <c r="CI20" s="37">
        <v>135</v>
      </c>
      <c r="CJ20" s="37">
        <v>135.1</v>
      </c>
      <c r="CK20" s="37">
        <v>135.30000000000001</v>
      </c>
      <c r="CL20" s="37">
        <v>135.80000000000001</v>
      </c>
      <c r="CM20" s="37">
        <v>136.1</v>
      </c>
      <c r="CN20" s="37">
        <v>136.5</v>
      </c>
      <c r="CO20" s="37">
        <v>136.69999999999999</v>
      </c>
      <c r="CP20" s="37">
        <v>136.80000000000001</v>
      </c>
      <c r="CQ20" s="37">
        <v>138.10000000000002</v>
      </c>
      <c r="CR20" s="37">
        <v>139.4</v>
      </c>
      <c r="CS20" s="37">
        <v>139.4</v>
      </c>
      <c r="CT20" s="37">
        <v>140.6</v>
      </c>
      <c r="CU20" s="37">
        <v>142.19999999999999</v>
      </c>
      <c r="CV20" s="37">
        <v>144</v>
      </c>
      <c r="CW20" s="37">
        <v>146.5</v>
      </c>
      <c r="CX20" s="37">
        <v>149.19999999999999</v>
      </c>
      <c r="CY20" s="37">
        <v>151.80000000000001</v>
      </c>
      <c r="CZ20" s="37">
        <v>155.5</v>
      </c>
      <c r="DA20" s="37">
        <v>156.5</v>
      </c>
      <c r="DB20" s="37">
        <v>157.6</v>
      </c>
      <c r="DC20" s="37">
        <v>159.30000000000001</v>
      </c>
      <c r="DD20" s="37">
        <v>160</v>
      </c>
      <c r="DE20" s="37">
        <v>160.9</v>
      </c>
      <c r="DF20" s="37">
        <v>162.69999999999999</v>
      </c>
      <c r="DG20" s="37">
        <v>162.69999999999999</v>
      </c>
      <c r="DH20" s="37">
        <v>163.19999999999999</v>
      </c>
      <c r="DI20" s="37">
        <v>163.69999999999999</v>
      </c>
      <c r="DJ20" s="37">
        <v>164.2</v>
      </c>
      <c r="DK20" s="37">
        <v>164.3</v>
      </c>
      <c r="DL20" s="37">
        <v>164.7</v>
      </c>
      <c r="DM20" s="37">
        <v>165.3</v>
      </c>
      <c r="DN20" s="37">
        <v>166.2</v>
      </c>
      <c r="DO20" s="37">
        <v>167.1</v>
      </c>
      <c r="DP20" s="37">
        <v>167.9</v>
      </c>
      <c r="DQ20" s="37">
        <v>168.4</v>
      </c>
      <c r="DR20" s="37">
        <v>168.8</v>
      </c>
      <c r="DS20" s="37">
        <v>169.4</v>
      </c>
      <c r="DT20" s="37">
        <v>169.9</v>
      </c>
      <c r="DU20" s="37">
        <v>170.4</v>
      </c>
      <c r="DV20" s="37">
        <v>171</v>
      </c>
      <c r="DW20" s="37">
        <v>171.4</v>
      </c>
      <c r="DX20" s="37">
        <v>172.3</v>
      </c>
      <c r="DY20" s="37">
        <v>172.3</v>
      </c>
      <c r="DZ20" s="37">
        <v>172.9</v>
      </c>
      <c r="EA20" s="37">
        <v>173.4</v>
      </c>
    </row>
    <row r="21" spans="4:131" x14ac:dyDescent="0.35">
      <c r="D21" s="40" t="s">
        <v>14</v>
      </c>
      <c r="E21" s="37" t="s">
        <v>59</v>
      </c>
      <c r="F21" s="37" t="s">
        <v>34</v>
      </c>
      <c r="G21" s="37">
        <v>107.3</v>
      </c>
      <c r="H21" s="37">
        <v>108.3</v>
      </c>
      <c r="I21" s="37">
        <v>108.9</v>
      </c>
      <c r="J21" s="37">
        <v>109.6</v>
      </c>
      <c r="K21" s="37">
        <v>110.5</v>
      </c>
      <c r="L21" s="37">
        <v>111.6</v>
      </c>
      <c r="M21" s="37">
        <v>112.6</v>
      </c>
      <c r="N21" s="37">
        <v>113.4</v>
      </c>
      <c r="O21" s="37">
        <v>114.6</v>
      </c>
      <c r="P21" s="37">
        <v>115.4</v>
      </c>
      <c r="Q21" s="37">
        <v>116.5</v>
      </c>
      <c r="R21" s="37">
        <v>117.4</v>
      </c>
      <c r="S21" s="37">
        <v>118.1</v>
      </c>
      <c r="T21" s="37">
        <v>118.8</v>
      </c>
      <c r="U21" s="37">
        <v>119.3</v>
      </c>
      <c r="V21" s="37">
        <v>119.8</v>
      </c>
      <c r="W21" s="37">
        <v>120.4</v>
      </c>
      <c r="X21" s="37">
        <v>121.2</v>
      </c>
      <c r="Y21" s="37">
        <v>122.1</v>
      </c>
      <c r="Z21" s="37">
        <v>123.1</v>
      </c>
      <c r="AA21" s="37">
        <v>123.8</v>
      </c>
      <c r="AB21" s="37">
        <v>124.5</v>
      </c>
      <c r="AC21" s="37">
        <v>125.6</v>
      </c>
      <c r="AD21" s="37">
        <v>126.1</v>
      </c>
      <c r="AE21" s="37">
        <v>126.7</v>
      </c>
      <c r="AF21" s="37">
        <v>127.6</v>
      </c>
      <c r="AG21" s="37">
        <v>128.4</v>
      </c>
      <c r="AH21" s="37">
        <v>129.1</v>
      </c>
      <c r="AI21" s="37">
        <v>129.80000000000001</v>
      </c>
      <c r="AJ21" s="37">
        <v>130.9</v>
      </c>
      <c r="AK21" s="37">
        <v>131.4</v>
      </c>
      <c r="AL21" s="37">
        <v>132.1</v>
      </c>
      <c r="AM21" s="37">
        <v>132.5</v>
      </c>
      <c r="AN21" s="37">
        <v>133</v>
      </c>
      <c r="AO21" s="37">
        <v>134</v>
      </c>
      <c r="AP21" s="37">
        <v>134.69999999999999</v>
      </c>
      <c r="AQ21" s="37">
        <v>135.30000000000001</v>
      </c>
      <c r="AR21" s="37">
        <v>135.80000000000001</v>
      </c>
      <c r="AS21" s="37">
        <v>136.30000000000001</v>
      </c>
      <c r="AT21" s="37">
        <v>136.69999999999999</v>
      </c>
      <c r="AU21" s="37">
        <v>137.4</v>
      </c>
      <c r="AV21" s="37">
        <v>138.1</v>
      </c>
      <c r="AW21" s="37">
        <v>138.80000000000001</v>
      </c>
      <c r="AX21" s="37">
        <v>139.5</v>
      </c>
      <c r="AY21" s="37">
        <v>140.19999999999999</v>
      </c>
      <c r="AZ21" s="37">
        <v>141.1</v>
      </c>
      <c r="BA21" s="37">
        <v>141.80000000000001</v>
      </c>
      <c r="BB21" s="37">
        <v>142.30000000000001</v>
      </c>
      <c r="BC21" s="37">
        <v>142.80000000000001</v>
      </c>
      <c r="BD21" s="37">
        <v>143.19999999999999</v>
      </c>
      <c r="BE21" s="37">
        <v>144</v>
      </c>
      <c r="BF21" s="37">
        <v>144.19999999999999</v>
      </c>
      <c r="BG21" s="37">
        <v>144.5</v>
      </c>
      <c r="BH21" s="37">
        <v>144.9</v>
      </c>
      <c r="BI21" s="37">
        <v>145.80000000000001</v>
      </c>
      <c r="BJ21" s="37">
        <v>146.80000000000001</v>
      </c>
      <c r="BK21" s="37">
        <v>147.30000000000001</v>
      </c>
      <c r="BL21" s="37">
        <v>148.1</v>
      </c>
      <c r="BM21" s="37">
        <v>148.9</v>
      </c>
      <c r="BN21" s="37">
        <v>149</v>
      </c>
      <c r="BO21" s="37">
        <v>149.5</v>
      </c>
      <c r="BP21" s="37">
        <v>149.6</v>
      </c>
      <c r="BQ21" s="37">
        <v>150.4</v>
      </c>
      <c r="BR21" s="37">
        <v>151.19999999999999</v>
      </c>
      <c r="BS21" s="37">
        <v>151.69999999999999</v>
      </c>
      <c r="BT21" s="37">
        <v>151.80000000000001</v>
      </c>
      <c r="BU21" s="37">
        <v>152.30000000000001</v>
      </c>
      <c r="BV21" s="37">
        <v>153</v>
      </c>
      <c r="BW21" s="37">
        <v>153.80000000000001</v>
      </c>
      <c r="BX21" s="37">
        <v>154.5</v>
      </c>
      <c r="BY21" s="37">
        <v>154.5</v>
      </c>
      <c r="BZ21" s="37">
        <v>154.6</v>
      </c>
      <c r="CA21" s="37">
        <v>154.6</v>
      </c>
      <c r="CB21" s="37">
        <v>154.9</v>
      </c>
      <c r="CC21" s="37">
        <v>155.19999999999999</v>
      </c>
      <c r="CD21" s="37">
        <v>155.35</v>
      </c>
      <c r="CE21" s="37">
        <v>155.5</v>
      </c>
      <c r="CF21" s="37">
        <v>155.9</v>
      </c>
      <c r="CG21" s="37">
        <v>156.19999999999999</v>
      </c>
      <c r="CH21" s="37">
        <v>156.6</v>
      </c>
      <c r="CI21" s="37">
        <v>156.80000000000001</v>
      </c>
      <c r="CJ21" s="37">
        <v>157.1</v>
      </c>
      <c r="CK21" s="37">
        <v>157.5</v>
      </c>
      <c r="CL21" s="37">
        <v>158</v>
      </c>
      <c r="CM21" s="37">
        <v>158.6</v>
      </c>
      <c r="CN21" s="37">
        <v>159.1</v>
      </c>
      <c r="CO21" s="37">
        <v>159.6</v>
      </c>
      <c r="CP21" s="37">
        <v>160.33333333333334</v>
      </c>
      <c r="CQ21" s="37">
        <v>161.06666666666666</v>
      </c>
      <c r="CR21" s="37">
        <v>161.80000000000001</v>
      </c>
      <c r="CS21" s="37">
        <v>161.80000000000001</v>
      </c>
      <c r="CT21" s="37">
        <v>162.30000000000001</v>
      </c>
      <c r="CU21" s="37">
        <v>162.9</v>
      </c>
      <c r="CV21" s="37">
        <v>163.19999999999999</v>
      </c>
      <c r="CW21" s="37">
        <v>163.80000000000001</v>
      </c>
      <c r="CX21" s="37">
        <v>164.8</v>
      </c>
      <c r="CY21" s="37">
        <v>165.6</v>
      </c>
      <c r="CZ21" s="37">
        <v>167.5</v>
      </c>
      <c r="DA21" s="37">
        <v>168.2</v>
      </c>
      <c r="DB21" s="37">
        <v>168.9</v>
      </c>
      <c r="DC21" s="37">
        <v>170.4</v>
      </c>
      <c r="DD21" s="37">
        <v>172.4</v>
      </c>
      <c r="DE21" s="37">
        <v>172.2</v>
      </c>
      <c r="DF21" s="37">
        <v>173.9</v>
      </c>
      <c r="DG21" s="37">
        <v>173.9</v>
      </c>
      <c r="DH21" s="37">
        <v>174.7</v>
      </c>
      <c r="DI21" s="37">
        <v>175.5</v>
      </c>
      <c r="DJ21" s="37">
        <v>176.5</v>
      </c>
      <c r="DK21" s="37">
        <v>177.3</v>
      </c>
      <c r="DL21" s="37">
        <v>178</v>
      </c>
      <c r="DM21" s="37">
        <v>179.3</v>
      </c>
      <c r="DN21" s="37">
        <v>180.9</v>
      </c>
      <c r="DO21" s="37">
        <v>182.5</v>
      </c>
      <c r="DP21" s="37">
        <v>183.9</v>
      </c>
      <c r="DQ21" s="37">
        <v>185.2</v>
      </c>
      <c r="DR21" s="37">
        <v>186.3</v>
      </c>
      <c r="DS21" s="37">
        <v>187.4</v>
      </c>
      <c r="DT21" s="37">
        <v>188.3</v>
      </c>
      <c r="DU21" s="37">
        <v>189.5</v>
      </c>
      <c r="DV21" s="37">
        <v>190.3</v>
      </c>
      <c r="DW21" s="37">
        <v>191.2</v>
      </c>
      <c r="DX21" s="37">
        <v>193</v>
      </c>
      <c r="DY21" s="37">
        <v>193</v>
      </c>
      <c r="DZ21" s="37">
        <v>193.5</v>
      </c>
      <c r="EA21" s="37">
        <v>194.2</v>
      </c>
    </row>
    <row r="22" spans="4:131" x14ac:dyDescent="0.35">
      <c r="D22" s="40" t="s">
        <v>15</v>
      </c>
      <c r="E22" s="37" t="s">
        <v>59</v>
      </c>
      <c r="F22" s="37" t="s">
        <v>34</v>
      </c>
      <c r="G22" s="37">
        <v>105.6</v>
      </c>
      <c r="H22" s="37">
        <v>106.6</v>
      </c>
      <c r="I22" s="37">
        <v>106.9</v>
      </c>
      <c r="J22" s="37">
        <v>107.7</v>
      </c>
      <c r="K22" s="37">
        <v>109.2</v>
      </c>
      <c r="L22" s="37">
        <v>112.2</v>
      </c>
      <c r="M22" s="37">
        <v>114.7</v>
      </c>
      <c r="N22" s="37">
        <v>116.6</v>
      </c>
      <c r="O22" s="37">
        <v>118.3</v>
      </c>
      <c r="P22" s="37">
        <v>120.2</v>
      </c>
      <c r="Q22" s="37">
        <v>122.6</v>
      </c>
      <c r="R22" s="37">
        <v>118.4</v>
      </c>
      <c r="S22" s="37">
        <v>115.8</v>
      </c>
      <c r="T22" s="37">
        <v>115.3</v>
      </c>
      <c r="U22" s="37">
        <v>116.1</v>
      </c>
      <c r="V22" s="37">
        <v>117.6</v>
      </c>
      <c r="W22" s="37">
        <v>118.9</v>
      </c>
      <c r="X22" s="37">
        <v>120.4</v>
      </c>
      <c r="Y22" s="37">
        <v>124.7</v>
      </c>
      <c r="Z22" s="37">
        <v>126.6</v>
      </c>
      <c r="AA22" s="37">
        <v>125.8</v>
      </c>
      <c r="AB22" s="37">
        <v>125.4</v>
      </c>
      <c r="AC22" s="37">
        <v>125.1</v>
      </c>
      <c r="AD22" s="37">
        <v>123.6</v>
      </c>
      <c r="AE22" s="37">
        <v>123.1</v>
      </c>
      <c r="AF22" s="37">
        <v>123.1</v>
      </c>
      <c r="AG22" s="37">
        <v>123.4</v>
      </c>
      <c r="AH22" s="37">
        <v>124</v>
      </c>
      <c r="AI22" s="37">
        <v>125</v>
      </c>
      <c r="AJ22" s="37">
        <v>127.3</v>
      </c>
      <c r="AK22" s="37">
        <v>128.19999999999999</v>
      </c>
      <c r="AL22" s="37">
        <v>130.30000000000001</v>
      </c>
      <c r="AM22" s="37">
        <v>131.19999999999999</v>
      </c>
      <c r="AN22" s="37">
        <v>132.1</v>
      </c>
      <c r="AO22" s="37">
        <v>132.69999999999999</v>
      </c>
      <c r="AP22" s="37">
        <v>131.4</v>
      </c>
      <c r="AQ22" s="37">
        <v>131.30000000000001</v>
      </c>
      <c r="AR22" s="37">
        <v>129.9</v>
      </c>
      <c r="AS22" s="37">
        <v>129.80000000000001</v>
      </c>
      <c r="AT22" s="37">
        <v>131.80000000000001</v>
      </c>
      <c r="AU22" s="37">
        <v>134</v>
      </c>
      <c r="AV22" s="37">
        <v>136.80000000000001</v>
      </c>
      <c r="AW22" s="37">
        <v>138.4</v>
      </c>
      <c r="AX22" s="37">
        <v>137.9</v>
      </c>
      <c r="AY22" s="37">
        <v>136.6</v>
      </c>
      <c r="AZ22" s="37">
        <v>137</v>
      </c>
      <c r="BA22" s="37">
        <v>136.1</v>
      </c>
      <c r="BB22" s="37">
        <v>134</v>
      </c>
      <c r="BC22" s="37">
        <v>133.1</v>
      </c>
      <c r="BD22" s="37">
        <v>133</v>
      </c>
      <c r="BE22" s="37">
        <v>133.1</v>
      </c>
      <c r="BF22" s="37">
        <v>133.5</v>
      </c>
      <c r="BG22" s="37">
        <v>133.69999999999999</v>
      </c>
      <c r="BH22" s="37">
        <v>135.19999999999999</v>
      </c>
      <c r="BI22" s="37">
        <v>139</v>
      </c>
      <c r="BJ22" s="37">
        <v>140.6</v>
      </c>
      <c r="BK22" s="37">
        <v>139</v>
      </c>
      <c r="BL22" s="37">
        <v>140.1</v>
      </c>
      <c r="BM22" s="37">
        <v>142.1</v>
      </c>
      <c r="BN22" s="37">
        <v>140.5</v>
      </c>
      <c r="BO22" s="37">
        <v>139.19999999999999</v>
      </c>
      <c r="BP22" s="37">
        <v>137.6</v>
      </c>
      <c r="BQ22" s="37">
        <v>137.19999999999999</v>
      </c>
      <c r="BR22" s="37">
        <v>137.5</v>
      </c>
      <c r="BS22" s="37">
        <v>138.1</v>
      </c>
      <c r="BT22" s="37">
        <v>139.4</v>
      </c>
      <c r="BU22" s="37">
        <v>141.4</v>
      </c>
      <c r="BV22" s="37">
        <v>141.69999999999999</v>
      </c>
      <c r="BW22" s="37">
        <v>140.4</v>
      </c>
      <c r="BX22" s="37">
        <v>139.69999999999999</v>
      </c>
      <c r="BY22" s="37">
        <v>139.69999999999999</v>
      </c>
      <c r="BZ22" s="37">
        <v>138.19999999999999</v>
      </c>
      <c r="CA22" s="37">
        <v>137.4</v>
      </c>
      <c r="CB22" s="37">
        <v>137.5</v>
      </c>
      <c r="CC22" s="37">
        <v>138.1</v>
      </c>
      <c r="CD22" s="37">
        <v>139.5</v>
      </c>
      <c r="CE22" s="37">
        <v>140.9</v>
      </c>
      <c r="CF22" s="37">
        <v>142.69999999999999</v>
      </c>
      <c r="CG22" s="37">
        <v>144.69999999999999</v>
      </c>
      <c r="CH22" s="37">
        <v>145.9</v>
      </c>
      <c r="CI22" s="37">
        <v>147</v>
      </c>
      <c r="CJ22" s="37">
        <v>149.6</v>
      </c>
      <c r="CK22" s="37">
        <v>151.9</v>
      </c>
      <c r="CL22" s="37">
        <v>155</v>
      </c>
      <c r="CM22" s="37">
        <v>153.5</v>
      </c>
      <c r="CN22" s="37">
        <v>150.5</v>
      </c>
      <c r="CO22" s="37">
        <v>148.9</v>
      </c>
      <c r="CP22" s="37">
        <v>151.4</v>
      </c>
      <c r="CQ22" s="37">
        <v>152.69999999999999</v>
      </c>
      <c r="CR22" s="37">
        <v>154</v>
      </c>
      <c r="CS22" s="37">
        <v>154</v>
      </c>
      <c r="CT22" s="37">
        <v>157</v>
      </c>
      <c r="CU22" s="37">
        <v>158</v>
      </c>
      <c r="CV22" s="37">
        <v>161.4</v>
      </c>
      <c r="CW22" s="37">
        <v>164.7</v>
      </c>
      <c r="CX22" s="37">
        <v>165.4</v>
      </c>
      <c r="CY22" s="37">
        <v>161</v>
      </c>
      <c r="CZ22" s="37">
        <v>156.9</v>
      </c>
      <c r="DA22" s="37">
        <v>156.69999999999999</v>
      </c>
      <c r="DB22" s="37">
        <v>158</v>
      </c>
      <c r="DC22" s="37">
        <v>160.69999999999999</v>
      </c>
      <c r="DD22" s="37">
        <v>162.6</v>
      </c>
      <c r="DE22" s="37">
        <v>164</v>
      </c>
      <c r="DF22" s="37">
        <v>164</v>
      </c>
      <c r="DG22" s="37">
        <v>164</v>
      </c>
      <c r="DH22" s="37">
        <v>167.7</v>
      </c>
      <c r="DI22" s="37">
        <v>169.7</v>
      </c>
      <c r="DJ22" s="37">
        <v>168.2</v>
      </c>
      <c r="DK22" s="37">
        <v>166.4</v>
      </c>
      <c r="DL22" s="37">
        <v>166.2</v>
      </c>
      <c r="DM22" s="37">
        <v>168.4</v>
      </c>
      <c r="DN22" s="37">
        <v>170.8</v>
      </c>
      <c r="DO22" s="37">
        <v>173.3</v>
      </c>
      <c r="DP22" s="37">
        <v>174.9</v>
      </c>
      <c r="DQ22" s="37">
        <v>175</v>
      </c>
      <c r="DR22" s="37">
        <v>176.3</v>
      </c>
      <c r="DS22" s="37">
        <v>177.8</v>
      </c>
      <c r="DT22" s="37">
        <v>179.6</v>
      </c>
      <c r="DU22" s="37">
        <v>178.3</v>
      </c>
      <c r="DV22" s="37">
        <v>175.9</v>
      </c>
      <c r="DW22" s="37">
        <v>176.7</v>
      </c>
      <c r="DX22" s="37">
        <v>177</v>
      </c>
      <c r="DY22" s="37">
        <v>177</v>
      </c>
      <c r="DZ22" s="37">
        <v>177.9</v>
      </c>
      <c r="EA22" s="37">
        <v>179.1</v>
      </c>
    </row>
    <row r="23" spans="4:131" x14ac:dyDescent="0.35">
      <c r="D23" s="40" t="s">
        <v>16</v>
      </c>
      <c r="E23" s="37" t="s">
        <v>60</v>
      </c>
      <c r="F23" s="37" t="s">
        <v>34</v>
      </c>
      <c r="G23" s="37">
        <v>105.1</v>
      </c>
      <c r="H23" s="37">
        <v>105.7</v>
      </c>
      <c r="I23" s="37">
        <v>106.6</v>
      </c>
      <c r="J23" s="37">
        <v>107.5</v>
      </c>
      <c r="K23" s="37">
        <v>108.6</v>
      </c>
      <c r="L23" s="37">
        <v>109.5</v>
      </c>
      <c r="M23" s="37">
        <v>110.3</v>
      </c>
      <c r="N23" s="37">
        <v>111.2</v>
      </c>
      <c r="O23" s="37">
        <v>112</v>
      </c>
      <c r="P23" s="37">
        <v>112.5</v>
      </c>
      <c r="Q23" s="37">
        <v>113.1</v>
      </c>
      <c r="R23" s="37">
        <v>114</v>
      </c>
      <c r="S23" s="37">
        <v>114.5</v>
      </c>
      <c r="T23" s="37">
        <v>114.7</v>
      </c>
      <c r="U23" s="37">
        <v>115.2</v>
      </c>
      <c r="V23" s="37">
        <v>116</v>
      </c>
      <c r="W23" s="37">
        <v>116.8</v>
      </c>
      <c r="X23" s="37">
        <v>117.8</v>
      </c>
      <c r="Y23" s="37">
        <v>118.8</v>
      </c>
      <c r="Z23" s="37">
        <v>119.9</v>
      </c>
      <c r="AA23" s="37">
        <v>120.8</v>
      </c>
      <c r="AB23" s="37">
        <v>121.1</v>
      </c>
      <c r="AC23" s="37">
        <v>122.1</v>
      </c>
      <c r="AD23" s="37">
        <v>123</v>
      </c>
      <c r="AE23" s="37">
        <v>124</v>
      </c>
      <c r="AF23" s="37">
        <v>125.2</v>
      </c>
      <c r="AG23" s="37">
        <v>125.8</v>
      </c>
      <c r="AH23" s="37">
        <v>126.9</v>
      </c>
      <c r="AI23" s="37">
        <v>127.9</v>
      </c>
      <c r="AJ23" s="37">
        <v>129.19999999999999</v>
      </c>
      <c r="AK23" s="37">
        <v>130.4</v>
      </c>
      <c r="AL23" s="37">
        <v>131.19999999999999</v>
      </c>
      <c r="AM23" s="37">
        <v>132</v>
      </c>
      <c r="AN23" s="37">
        <v>132.5</v>
      </c>
      <c r="AO23" s="37">
        <v>133.6</v>
      </c>
      <c r="AP23" s="37">
        <v>134.5</v>
      </c>
      <c r="AQ23" s="37">
        <v>135.19999999999999</v>
      </c>
      <c r="AR23" s="37">
        <v>135.9</v>
      </c>
      <c r="AS23" s="37">
        <v>136.5</v>
      </c>
      <c r="AT23" s="37">
        <v>137.1</v>
      </c>
      <c r="AU23" s="37">
        <v>137.69999999999999</v>
      </c>
      <c r="AV23" s="37">
        <v>138.69999999999999</v>
      </c>
      <c r="AW23" s="37">
        <v>139.30000000000001</v>
      </c>
      <c r="AX23" s="37">
        <v>140.19999999999999</v>
      </c>
      <c r="AY23" s="37">
        <v>141</v>
      </c>
      <c r="AZ23" s="37">
        <v>141.80000000000001</v>
      </c>
      <c r="BA23" s="37">
        <v>142</v>
      </c>
      <c r="BB23" s="37">
        <v>143.1</v>
      </c>
      <c r="BC23" s="37">
        <v>143.80000000000001</v>
      </c>
      <c r="BD23" s="37">
        <v>144.4</v>
      </c>
      <c r="BE23" s="37">
        <v>145.1</v>
      </c>
      <c r="BF23" s="37">
        <v>145.4</v>
      </c>
      <c r="BG23" s="37">
        <v>146.19999999999999</v>
      </c>
      <c r="BH23" s="37">
        <v>146.5</v>
      </c>
      <c r="BI23" s="37">
        <v>148.19999999999999</v>
      </c>
      <c r="BJ23" s="37">
        <v>149.80000000000001</v>
      </c>
      <c r="BK23" s="37">
        <v>150.80000000000001</v>
      </c>
      <c r="BL23" s="37">
        <v>151.6</v>
      </c>
      <c r="BM23" s="37">
        <v>153.19999999999999</v>
      </c>
      <c r="BN23" s="37">
        <v>154.19999999999999</v>
      </c>
      <c r="BO23" s="37">
        <v>154.69999999999999</v>
      </c>
      <c r="BP23" s="37">
        <v>154.9</v>
      </c>
      <c r="BQ23" s="37">
        <v>156.30000000000001</v>
      </c>
      <c r="BR23" s="37">
        <v>156.9</v>
      </c>
      <c r="BS23" s="37">
        <v>157.9</v>
      </c>
      <c r="BT23" s="37">
        <v>158.30000000000001</v>
      </c>
      <c r="BU23" s="37">
        <v>157.5</v>
      </c>
      <c r="BV23" s="37">
        <v>157.9</v>
      </c>
      <c r="BW23" s="37">
        <v>159.19999999999999</v>
      </c>
      <c r="BX23" s="37">
        <v>162.6</v>
      </c>
      <c r="BY23" s="37">
        <v>162.6</v>
      </c>
      <c r="BZ23" s="37">
        <v>163</v>
      </c>
      <c r="CA23" s="37">
        <v>163.19999999999999</v>
      </c>
      <c r="CB23" s="37">
        <v>163.4</v>
      </c>
      <c r="CC23" s="37">
        <v>163.5</v>
      </c>
      <c r="CD23" s="37">
        <v>163.80000000000001</v>
      </c>
      <c r="CE23" s="37">
        <v>164.1</v>
      </c>
      <c r="CF23" s="37">
        <v>164.9</v>
      </c>
      <c r="CG23" s="37">
        <v>165.2</v>
      </c>
      <c r="CH23" s="37">
        <v>165.8</v>
      </c>
      <c r="CI23" s="37">
        <v>166.5</v>
      </c>
      <c r="CJ23" s="37">
        <v>167.1</v>
      </c>
      <c r="CK23" s="37">
        <v>167.9</v>
      </c>
      <c r="CL23" s="37">
        <v>168.5</v>
      </c>
      <c r="CM23" s="37">
        <v>169.2</v>
      </c>
      <c r="CN23" s="37">
        <v>170.1</v>
      </c>
      <c r="CO23" s="37">
        <v>171.2</v>
      </c>
      <c r="CP23" s="37">
        <v>175.29999999999998</v>
      </c>
      <c r="CQ23" s="37">
        <v>179.4</v>
      </c>
      <c r="CR23" s="37">
        <v>183.5</v>
      </c>
      <c r="CS23" s="37">
        <v>183.5</v>
      </c>
      <c r="CT23" s="37">
        <v>182.6</v>
      </c>
      <c r="CU23" s="37">
        <v>184.4</v>
      </c>
      <c r="CV23" s="37">
        <v>184.3</v>
      </c>
      <c r="CW23" s="37">
        <v>184.8</v>
      </c>
      <c r="CX23" s="37">
        <v>185.4</v>
      </c>
      <c r="CY23" s="37">
        <v>186.5</v>
      </c>
      <c r="CZ23" s="37">
        <v>188.3</v>
      </c>
      <c r="DA23" s="37">
        <v>188.1</v>
      </c>
      <c r="DB23" s="37">
        <v>188.8</v>
      </c>
      <c r="DC23" s="37">
        <v>191.9</v>
      </c>
      <c r="DD23" s="37">
        <v>190.8</v>
      </c>
      <c r="DE23" s="37">
        <v>191.2</v>
      </c>
      <c r="DF23" s="37">
        <v>192.1</v>
      </c>
      <c r="DG23" s="37">
        <v>192.1</v>
      </c>
      <c r="DH23" s="37">
        <v>192.7</v>
      </c>
      <c r="DI23" s="37">
        <v>192.9</v>
      </c>
      <c r="DJ23" s="37">
        <v>192.4</v>
      </c>
      <c r="DK23" s="37">
        <v>192.2</v>
      </c>
      <c r="DL23" s="37">
        <v>192.8</v>
      </c>
      <c r="DM23" s="37">
        <v>193.7</v>
      </c>
      <c r="DN23" s="37">
        <v>193.9</v>
      </c>
      <c r="DO23" s="37">
        <v>194.1</v>
      </c>
      <c r="DP23" s="37">
        <v>194.3</v>
      </c>
      <c r="DQ23" s="37">
        <v>194.6</v>
      </c>
      <c r="DR23" s="37">
        <v>195</v>
      </c>
      <c r="DS23" s="37">
        <v>195.9</v>
      </c>
      <c r="DT23" s="37">
        <v>196.3</v>
      </c>
      <c r="DU23" s="37">
        <v>196.9</v>
      </c>
      <c r="DV23" s="37">
        <v>197.3</v>
      </c>
      <c r="DW23" s="37">
        <v>198.2</v>
      </c>
      <c r="DX23" s="37">
        <v>199.5</v>
      </c>
      <c r="DY23" s="37">
        <v>199.5</v>
      </c>
      <c r="DZ23" s="37">
        <v>200.6</v>
      </c>
      <c r="EA23" s="37">
        <v>201</v>
      </c>
    </row>
    <row r="24" spans="4:131" x14ac:dyDescent="0.35">
      <c r="D24" s="40" t="s">
        <v>17</v>
      </c>
      <c r="E24" s="37" t="s">
        <v>61</v>
      </c>
      <c r="F24" s="37" t="s">
        <v>34</v>
      </c>
      <c r="G24" s="37">
        <v>106.3</v>
      </c>
      <c r="H24" s="37">
        <v>106.9</v>
      </c>
      <c r="I24" s="37">
        <v>107.4</v>
      </c>
      <c r="J24" s="37">
        <v>108</v>
      </c>
      <c r="K24" s="37">
        <v>108.7</v>
      </c>
      <c r="L24" s="37">
        <v>109.5</v>
      </c>
      <c r="M24" s="37">
        <v>110.2</v>
      </c>
      <c r="N24" s="37">
        <v>111</v>
      </c>
      <c r="O24" s="37">
        <v>112.2</v>
      </c>
      <c r="P24" s="37">
        <v>113.2</v>
      </c>
      <c r="Q24" s="37">
        <v>114.2</v>
      </c>
      <c r="R24" s="37">
        <v>115.2</v>
      </c>
      <c r="S24" s="37">
        <v>115.8</v>
      </c>
      <c r="T24" s="37">
        <v>116.4</v>
      </c>
      <c r="U24" s="37">
        <v>116.8</v>
      </c>
      <c r="V24" s="37">
        <v>117.4</v>
      </c>
      <c r="W24" s="37">
        <v>118</v>
      </c>
      <c r="X24" s="37">
        <v>118.8</v>
      </c>
      <c r="Y24" s="37">
        <v>119.6</v>
      </c>
      <c r="Z24" s="37">
        <v>120</v>
      </c>
      <c r="AA24" s="37">
        <v>120.7</v>
      </c>
      <c r="AB24" s="37">
        <v>121.5</v>
      </c>
      <c r="AC24" s="37">
        <v>122.1</v>
      </c>
      <c r="AD24" s="37">
        <v>122.6</v>
      </c>
      <c r="AE24" s="37">
        <v>123.1</v>
      </c>
      <c r="AF24" s="37">
        <v>123.8</v>
      </c>
      <c r="AG24" s="37">
        <v>124.3</v>
      </c>
      <c r="AH24" s="37">
        <v>124.7</v>
      </c>
      <c r="AI24" s="37">
        <v>125.4</v>
      </c>
      <c r="AJ24" s="37">
        <v>126.4</v>
      </c>
      <c r="AK24" s="37">
        <v>126.7</v>
      </c>
      <c r="AL24" s="37">
        <v>127.2</v>
      </c>
      <c r="AM24" s="37">
        <v>127.9</v>
      </c>
      <c r="AN24" s="37">
        <v>128.5</v>
      </c>
      <c r="AO24" s="37">
        <v>129.30000000000001</v>
      </c>
      <c r="AP24" s="37">
        <v>129.69999999999999</v>
      </c>
      <c r="AQ24" s="37">
        <v>130.30000000000001</v>
      </c>
      <c r="AR24" s="37">
        <v>130.9</v>
      </c>
      <c r="AS24" s="37">
        <v>131.30000000000001</v>
      </c>
      <c r="AT24" s="37">
        <v>131.80000000000001</v>
      </c>
      <c r="AU24" s="37">
        <v>132.19999999999999</v>
      </c>
      <c r="AV24" s="37">
        <v>132.9</v>
      </c>
      <c r="AW24" s="37">
        <v>133.5</v>
      </c>
      <c r="AX24" s="37">
        <v>134.1</v>
      </c>
      <c r="AY24" s="37">
        <v>134.6</v>
      </c>
      <c r="AZ24" s="37">
        <v>135.5</v>
      </c>
      <c r="BA24" s="37">
        <v>135.80000000000001</v>
      </c>
      <c r="BB24" s="37">
        <v>136.30000000000001</v>
      </c>
      <c r="BC24" s="37">
        <v>136.6</v>
      </c>
      <c r="BD24" s="37">
        <v>136.80000000000001</v>
      </c>
      <c r="BE24" s="37">
        <v>137.30000000000001</v>
      </c>
      <c r="BF24" s="37">
        <v>138</v>
      </c>
      <c r="BG24" s="37">
        <v>138.19999999999999</v>
      </c>
      <c r="BH24" s="37">
        <v>138.5</v>
      </c>
      <c r="BI24" s="37">
        <v>139.30000000000001</v>
      </c>
      <c r="BJ24" s="37">
        <v>140.30000000000001</v>
      </c>
      <c r="BK24" s="37">
        <v>141.1</v>
      </c>
      <c r="BL24" s="37">
        <v>142</v>
      </c>
      <c r="BM24" s="37">
        <v>143</v>
      </c>
      <c r="BN24" s="37">
        <v>143.1</v>
      </c>
      <c r="BO24" s="37">
        <v>143.5</v>
      </c>
      <c r="BP24" s="37">
        <v>143.80000000000001</v>
      </c>
      <c r="BQ24" s="37">
        <v>144.30000000000001</v>
      </c>
      <c r="BR24" s="37">
        <v>145.30000000000001</v>
      </c>
      <c r="BS24" s="37">
        <v>146</v>
      </c>
      <c r="BT24" s="37">
        <v>146.4</v>
      </c>
      <c r="BU24" s="37">
        <v>146.80000000000001</v>
      </c>
      <c r="BV24" s="37">
        <v>147.30000000000001</v>
      </c>
      <c r="BW24" s="37">
        <v>147.69999999999999</v>
      </c>
      <c r="BX24" s="37">
        <v>148</v>
      </c>
      <c r="BY24" s="37">
        <v>148</v>
      </c>
      <c r="BZ24" s="37">
        <v>148.1</v>
      </c>
      <c r="CA24" s="37">
        <v>147.6</v>
      </c>
      <c r="CB24" s="37">
        <v>147.69999999999999</v>
      </c>
      <c r="CC24" s="37">
        <v>147.9</v>
      </c>
      <c r="CD24" s="37">
        <v>148.15</v>
      </c>
      <c r="CE24" s="37">
        <v>148.4</v>
      </c>
      <c r="CF24" s="37">
        <v>148.6</v>
      </c>
      <c r="CG24" s="37">
        <v>148.9</v>
      </c>
      <c r="CH24" s="37">
        <v>149.1</v>
      </c>
      <c r="CI24" s="37">
        <v>149.19999999999999</v>
      </c>
      <c r="CJ24" s="37">
        <v>149.4</v>
      </c>
      <c r="CK24" s="37">
        <v>149.9</v>
      </c>
      <c r="CL24" s="37">
        <v>150.30000000000001</v>
      </c>
      <c r="CM24" s="37">
        <v>150.5</v>
      </c>
      <c r="CN24" s="37">
        <v>150.80000000000001</v>
      </c>
      <c r="CO24" s="37">
        <v>151.19999999999999</v>
      </c>
      <c r="CP24" s="37">
        <v>151.63333333333333</v>
      </c>
      <c r="CQ24" s="37">
        <v>152.06666666666666</v>
      </c>
      <c r="CR24" s="37">
        <v>152.5</v>
      </c>
      <c r="CS24" s="37">
        <v>152.5</v>
      </c>
      <c r="CT24" s="37">
        <v>153.1</v>
      </c>
      <c r="CU24" s="37">
        <v>153.4</v>
      </c>
      <c r="CV24" s="37">
        <v>153.69999999999999</v>
      </c>
      <c r="CW24" s="37">
        <v>154.30000000000001</v>
      </c>
      <c r="CX24" s="37">
        <v>155</v>
      </c>
      <c r="CY24" s="37">
        <v>155.5</v>
      </c>
      <c r="CZ24" s="37">
        <v>157.19999999999999</v>
      </c>
      <c r="DA24" s="37">
        <v>157.80000000000001</v>
      </c>
      <c r="DB24" s="37">
        <v>158.80000000000001</v>
      </c>
      <c r="DC24" s="37">
        <v>161.80000000000001</v>
      </c>
      <c r="DD24" s="37">
        <v>162.19999999999999</v>
      </c>
      <c r="DE24" s="37">
        <v>162.80000000000001</v>
      </c>
      <c r="DF24" s="37">
        <v>164.5</v>
      </c>
      <c r="DG24" s="37">
        <v>164.6</v>
      </c>
      <c r="DH24" s="37">
        <v>165.7</v>
      </c>
      <c r="DI24" s="37">
        <v>167.2</v>
      </c>
      <c r="DJ24" s="37">
        <v>168.5</v>
      </c>
      <c r="DK24" s="37">
        <v>169.9</v>
      </c>
      <c r="DL24" s="37">
        <v>170.8</v>
      </c>
      <c r="DM24" s="37">
        <v>172.1</v>
      </c>
      <c r="DN24" s="37">
        <v>173.9</v>
      </c>
      <c r="DO24" s="37">
        <v>175.6</v>
      </c>
      <c r="DP24" s="37">
        <v>177.1</v>
      </c>
      <c r="DQ24" s="37">
        <v>178.3</v>
      </c>
      <c r="DR24" s="37">
        <v>179.5</v>
      </c>
      <c r="DS24" s="37">
        <v>180.9</v>
      </c>
      <c r="DT24" s="37">
        <v>181.9</v>
      </c>
      <c r="DU24" s="37">
        <v>183.1</v>
      </c>
      <c r="DV24" s="37">
        <v>184</v>
      </c>
      <c r="DW24" s="37">
        <v>184.9</v>
      </c>
      <c r="DX24" s="37">
        <v>186.2</v>
      </c>
      <c r="DY24" s="37">
        <v>186.1</v>
      </c>
      <c r="DZ24" s="37">
        <v>186.9</v>
      </c>
      <c r="EA24" s="37">
        <v>187.3</v>
      </c>
    </row>
    <row r="25" spans="4:131" x14ac:dyDescent="0.35">
      <c r="D25" s="40" t="s">
        <v>18</v>
      </c>
      <c r="E25" s="37" t="s">
        <v>61</v>
      </c>
      <c r="F25" s="37" t="s">
        <v>34</v>
      </c>
      <c r="G25" s="37">
        <v>105.5</v>
      </c>
      <c r="H25" s="37">
        <v>106</v>
      </c>
      <c r="I25" s="37">
        <v>106.5</v>
      </c>
      <c r="J25" s="37">
        <v>107</v>
      </c>
      <c r="K25" s="37">
        <v>107.4</v>
      </c>
      <c r="L25" s="37">
        <v>108.1</v>
      </c>
      <c r="M25" s="37">
        <v>108.8</v>
      </c>
      <c r="N25" s="37">
        <v>109.4</v>
      </c>
      <c r="O25" s="37">
        <v>110.4</v>
      </c>
      <c r="P25" s="37">
        <v>111.2</v>
      </c>
      <c r="Q25" s="37">
        <v>111.9</v>
      </c>
      <c r="R25" s="37">
        <v>112.7</v>
      </c>
      <c r="S25" s="37">
        <v>113.2</v>
      </c>
      <c r="T25" s="37">
        <v>113.3</v>
      </c>
      <c r="U25" s="37">
        <v>113.7</v>
      </c>
      <c r="V25" s="37">
        <v>114.6</v>
      </c>
      <c r="W25" s="37">
        <v>115.2</v>
      </c>
      <c r="X25" s="37">
        <v>115.6</v>
      </c>
      <c r="Y25" s="37">
        <v>116.3</v>
      </c>
      <c r="Z25" s="37">
        <v>116.8</v>
      </c>
      <c r="AA25" s="37">
        <v>117.2</v>
      </c>
      <c r="AB25" s="37">
        <v>118.1</v>
      </c>
      <c r="AC25" s="37">
        <v>118.4</v>
      </c>
      <c r="AD25" s="37">
        <v>118.6</v>
      </c>
      <c r="AE25" s="37">
        <v>119.3</v>
      </c>
      <c r="AF25" s="37">
        <v>120.1</v>
      </c>
      <c r="AG25" s="37">
        <v>120.4</v>
      </c>
      <c r="AH25" s="37">
        <v>120.8</v>
      </c>
      <c r="AI25" s="37">
        <v>121.3</v>
      </c>
      <c r="AJ25" s="37">
        <v>122</v>
      </c>
      <c r="AK25" s="37">
        <v>122.3</v>
      </c>
      <c r="AL25" s="37">
        <v>122.9</v>
      </c>
      <c r="AM25" s="37">
        <v>123.4</v>
      </c>
      <c r="AN25" s="37">
        <v>123.8</v>
      </c>
      <c r="AO25" s="37">
        <v>124.5</v>
      </c>
      <c r="AP25" s="37">
        <v>124.8</v>
      </c>
      <c r="AQ25" s="37">
        <v>125.1</v>
      </c>
      <c r="AR25" s="37">
        <v>125.8</v>
      </c>
      <c r="AS25" s="37">
        <v>126.1</v>
      </c>
      <c r="AT25" s="37">
        <v>126.4</v>
      </c>
      <c r="AU25" s="37">
        <v>126.8</v>
      </c>
      <c r="AV25" s="37">
        <v>127.2</v>
      </c>
      <c r="AW25" s="37">
        <v>127.6</v>
      </c>
      <c r="AX25" s="37">
        <v>128.19999999999999</v>
      </c>
      <c r="AY25" s="37">
        <v>128.6</v>
      </c>
      <c r="AZ25" s="37">
        <v>129.1</v>
      </c>
      <c r="BA25" s="37">
        <v>129.30000000000001</v>
      </c>
      <c r="BB25" s="37">
        <v>129.80000000000001</v>
      </c>
      <c r="BC25" s="37">
        <v>130.19999999999999</v>
      </c>
      <c r="BD25" s="37">
        <v>130.30000000000001</v>
      </c>
      <c r="BE25" s="37">
        <v>130.6</v>
      </c>
      <c r="BF25" s="37">
        <v>131.1</v>
      </c>
      <c r="BG25" s="37">
        <v>131.4</v>
      </c>
      <c r="BH25" s="37">
        <v>131.69999999999999</v>
      </c>
      <c r="BI25" s="37">
        <v>132.1</v>
      </c>
      <c r="BJ25" s="37">
        <v>133</v>
      </c>
      <c r="BK25" s="37">
        <v>133.4</v>
      </c>
      <c r="BL25" s="37">
        <v>134.1</v>
      </c>
      <c r="BM25" s="37">
        <v>134.80000000000001</v>
      </c>
      <c r="BN25" s="37">
        <v>135.1</v>
      </c>
      <c r="BO25" s="37">
        <v>135.5</v>
      </c>
      <c r="BP25" s="37">
        <v>135.6</v>
      </c>
      <c r="BQ25" s="37">
        <v>136.19999999999999</v>
      </c>
      <c r="BR25" s="37">
        <v>136.69999999999999</v>
      </c>
      <c r="BS25" s="37">
        <v>137.4</v>
      </c>
      <c r="BT25" s="37">
        <v>138.1</v>
      </c>
      <c r="BU25" s="37">
        <v>138.4</v>
      </c>
      <c r="BV25" s="37">
        <v>138.80000000000001</v>
      </c>
      <c r="BW25" s="37">
        <v>139.1</v>
      </c>
      <c r="BX25" s="37">
        <v>139.19999999999999</v>
      </c>
      <c r="BY25" s="37">
        <v>139.1</v>
      </c>
      <c r="BZ25" s="37">
        <v>139.4</v>
      </c>
      <c r="CA25" s="37">
        <v>139</v>
      </c>
      <c r="CB25" s="37">
        <v>139.69999999999999</v>
      </c>
      <c r="CC25" s="37">
        <v>139.9</v>
      </c>
      <c r="CD25" s="37">
        <v>140.15</v>
      </c>
      <c r="CE25" s="37">
        <v>140.4</v>
      </c>
      <c r="CF25" s="37">
        <v>140.4</v>
      </c>
      <c r="CG25" s="37">
        <v>140.5</v>
      </c>
      <c r="CH25" s="37">
        <v>140.6</v>
      </c>
      <c r="CI25" s="37">
        <v>140.6</v>
      </c>
      <c r="CJ25" s="37">
        <v>140.80000000000001</v>
      </c>
      <c r="CK25" s="37">
        <v>141</v>
      </c>
      <c r="CL25" s="37">
        <v>141.30000000000001</v>
      </c>
      <c r="CM25" s="37">
        <v>141.5</v>
      </c>
      <c r="CN25" s="37">
        <v>141.69999999999999</v>
      </c>
      <c r="CO25" s="37">
        <v>141.9</v>
      </c>
      <c r="CP25" s="37">
        <v>142.73333333333335</v>
      </c>
      <c r="CQ25" s="37">
        <v>143.56666666666666</v>
      </c>
      <c r="CR25" s="37">
        <v>144.4</v>
      </c>
      <c r="CS25" s="37">
        <v>144.4</v>
      </c>
      <c r="CT25" s="37">
        <v>143.4</v>
      </c>
      <c r="CU25" s="37">
        <v>144.30000000000001</v>
      </c>
      <c r="CV25" s="37">
        <v>144.6</v>
      </c>
      <c r="CW25" s="37">
        <v>144.9</v>
      </c>
      <c r="CX25" s="37">
        <v>145.4</v>
      </c>
      <c r="CY25" s="37">
        <v>146.1</v>
      </c>
      <c r="CZ25" s="37">
        <v>147.4</v>
      </c>
      <c r="DA25" s="37">
        <v>147.9</v>
      </c>
      <c r="DB25" s="37">
        <v>148.5</v>
      </c>
      <c r="DC25" s="37">
        <v>152.1</v>
      </c>
      <c r="DD25" s="37">
        <v>151.80000000000001</v>
      </c>
      <c r="DE25" s="37">
        <v>153.1</v>
      </c>
      <c r="DF25" s="37">
        <v>155.30000000000001</v>
      </c>
      <c r="DG25" s="37">
        <v>155.30000000000001</v>
      </c>
      <c r="DH25" s="37">
        <v>156.30000000000001</v>
      </c>
      <c r="DI25" s="37">
        <v>157.4</v>
      </c>
      <c r="DJ25" s="37">
        <v>158.69999999999999</v>
      </c>
      <c r="DK25" s="37">
        <v>160.69999999999999</v>
      </c>
      <c r="DL25" s="37">
        <v>162.4</v>
      </c>
      <c r="DM25" s="37">
        <v>164.6</v>
      </c>
      <c r="DN25" s="37">
        <v>166.5</v>
      </c>
      <c r="DO25" s="37">
        <v>168.4</v>
      </c>
      <c r="DP25" s="37">
        <v>169.9</v>
      </c>
      <c r="DQ25" s="37">
        <v>171.3</v>
      </c>
      <c r="DR25" s="37">
        <v>172.7</v>
      </c>
      <c r="DS25" s="37">
        <v>174.3</v>
      </c>
      <c r="DT25" s="37">
        <v>175.3</v>
      </c>
      <c r="DU25" s="37">
        <v>176.2</v>
      </c>
      <c r="DV25" s="37">
        <v>177</v>
      </c>
      <c r="DW25" s="37">
        <v>177.6</v>
      </c>
      <c r="DX25" s="37">
        <v>178.7</v>
      </c>
      <c r="DY25" s="37">
        <v>178.7</v>
      </c>
      <c r="DZ25" s="37">
        <v>179.2</v>
      </c>
      <c r="EA25" s="37">
        <v>179.7</v>
      </c>
    </row>
    <row r="26" spans="4:131" x14ac:dyDescent="0.35">
      <c r="D26" s="40" t="s">
        <v>19</v>
      </c>
      <c r="E26" s="37" t="s">
        <v>61</v>
      </c>
      <c r="F26" s="37" t="s">
        <v>34</v>
      </c>
      <c r="G26" s="37">
        <v>106.2</v>
      </c>
      <c r="H26" s="37">
        <v>106.8</v>
      </c>
      <c r="I26" s="37">
        <v>107.3</v>
      </c>
      <c r="J26" s="37">
        <v>107.9</v>
      </c>
      <c r="K26" s="37">
        <v>108.5</v>
      </c>
      <c r="L26" s="37">
        <v>109.3</v>
      </c>
      <c r="M26" s="37">
        <v>110</v>
      </c>
      <c r="N26" s="37">
        <v>110.7</v>
      </c>
      <c r="O26" s="37">
        <v>111.9</v>
      </c>
      <c r="P26" s="37">
        <v>112.8</v>
      </c>
      <c r="Q26" s="37">
        <v>113.8</v>
      </c>
      <c r="R26" s="37">
        <v>114.8</v>
      </c>
      <c r="S26" s="37">
        <v>115.4</v>
      </c>
      <c r="T26" s="37">
        <v>115.9</v>
      </c>
      <c r="U26" s="37">
        <v>116.4</v>
      </c>
      <c r="V26" s="37">
        <v>117</v>
      </c>
      <c r="W26" s="37">
        <v>117.6</v>
      </c>
      <c r="X26" s="37">
        <v>118.3</v>
      </c>
      <c r="Y26" s="37">
        <v>119.1</v>
      </c>
      <c r="Z26" s="37">
        <v>119.6</v>
      </c>
      <c r="AA26" s="37">
        <v>120.1</v>
      </c>
      <c r="AB26" s="37">
        <v>121</v>
      </c>
      <c r="AC26" s="37">
        <v>121.6</v>
      </c>
      <c r="AD26" s="37">
        <v>122</v>
      </c>
      <c r="AE26" s="37">
        <v>122.5</v>
      </c>
      <c r="AF26" s="37">
        <v>123.3</v>
      </c>
      <c r="AG26" s="37">
        <v>123.7</v>
      </c>
      <c r="AH26" s="37">
        <v>124.1</v>
      </c>
      <c r="AI26" s="37">
        <v>124.7</v>
      </c>
      <c r="AJ26" s="37">
        <v>125.7</v>
      </c>
      <c r="AK26" s="37">
        <v>126.1</v>
      </c>
      <c r="AL26" s="37">
        <v>126.6</v>
      </c>
      <c r="AM26" s="37">
        <v>127.2</v>
      </c>
      <c r="AN26" s="37">
        <v>127.8</v>
      </c>
      <c r="AO26" s="37">
        <v>128.6</v>
      </c>
      <c r="AP26" s="37">
        <v>129</v>
      </c>
      <c r="AQ26" s="37">
        <v>129.5</v>
      </c>
      <c r="AR26" s="37">
        <v>130.19999999999999</v>
      </c>
      <c r="AS26" s="37">
        <v>130.5</v>
      </c>
      <c r="AT26" s="37">
        <v>131</v>
      </c>
      <c r="AU26" s="37">
        <v>131.4</v>
      </c>
      <c r="AV26" s="37">
        <v>132</v>
      </c>
      <c r="AW26" s="37">
        <v>132.69999999999999</v>
      </c>
      <c r="AX26" s="37">
        <v>133.19999999999999</v>
      </c>
      <c r="AY26" s="37">
        <v>133.80000000000001</v>
      </c>
      <c r="AZ26" s="37">
        <v>134.5</v>
      </c>
      <c r="BA26" s="37">
        <v>135</v>
      </c>
      <c r="BB26" s="37">
        <v>135.4</v>
      </c>
      <c r="BC26" s="37">
        <v>135.6</v>
      </c>
      <c r="BD26" s="37">
        <v>135.9</v>
      </c>
      <c r="BE26" s="37">
        <v>136.4</v>
      </c>
      <c r="BF26" s="37">
        <v>137</v>
      </c>
      <c r="BG26" s="37">
        <v>137.19999999999999</v>
      </c>
      <c r="BH26" s="37">
        <v>137.5</v>
      </c>
      <c r="BI26" s="37">
        <v>138.30000000000001</v>
      </c>
      <c r="BJ26" s="37">
        <v>139.30000000000001</v>
      </c>
      <c r="BK26" s="37">
        <v>140</v>
      </c>
      <c r="BL26" s="37">
        <v>140.80000000000001</v>
      </c>
      <c r="BM26" s="37">
        <v>141.80000000000001</v>
      </c>
      <c r="BN26" s="37">
        <v>142</v>
      </c>
      <c r="BO26" s="37">
        <v>142.30000000000001</v>
      </c>
      <c r="BP26" s="37">
        <v>142.6</v>
      </c>
      <c r="BQ26" s="37">
        <v>143.1</v>
      </c>
      <c r="BR26" s="37">
        <v>144</v>
      </c>
      <c r="BS26" s="37">
        <v>144.69999999999999</v>
      </c>
      <c r="BT26" s="37">
        <v>145.19999999999999</v>
      </c>
      <c r="BU26" s="37">
        <v>145.6</v>
      </c>
      <c r="BV26" s="37">
        <v>146.1</v>
      </c>
      <c r="BW26" s="37">
        <v>146.5</v>
      </c>
      <c r="BX26" s="37">
        <v>146.80000000000001</v>
      </c>
      <c r="BY26" s="37">
        <v>146.69999999999999</v>
      </c>
      <c r="BZ26" s="37">
        <v>146.80000000000001</v>
      </c>
      <c r="CA26" s="37">
        <v>146.4</v>
      </c>
      <c r="CB26" s="37">
        <v>146.5</v>
      </c>
      <c r="CC26" s="37">
        <v>146.69999999999999</v>
      </c>
      <c r="CD26" s="37">
        <v>147</v>
      </c>
      <c r="CE26" s="37">
        <v>147.30000000000001</v>
      </c>
      <c r="CF26" s="37">
        <v>147.4</v>
      </c>
      <c r="CG26" s="37">
        <v>147.6</v>
      </c>
      <c r="CH26" s="37">
        <v>147.9</v>
      </c>
      <c r="CI26" s="37">
        <v>147.9</v>
      </c>
      <c r="CJ26" s="37">
        <v>148.19999999999999</v>
      </c>
      <c r="CK26" s="37">
        <v>148.6</v>
      </c>
      <c r="CL26" s="37">
        <v>149</v>
      </c>
      <c r="CM26" s="37">
        <v>149.19999999999999</v>
      </c>
      <c r="CN26" s="37">
        <v>149.5</v>
      </c>
      <c r="CO26" s="37">
        <v>149.80000000000001</v>
      </c>
      <c r="CP26" s="37">
        <v>150.33333333333334</v>
      </c>
      <c r="CQ26" s="37">
        <v>150.86666666666667</v>
      </c>
      <c r="CR26" s="37">
        <v>151.4</v>
      </c>
      <c r="CS26" s="37">
        <v>151.4</v>
      </c>
      <c r="CT26" s="37">
        <v>151.69999999999999</v>
      </c>
      <c r="CU26" s="37">
        <v>152</v>
      </c>
      <c r="CV26" s="37">
        <v>152.30000000000001</v>
      </c>
      <c r="CW26" s="37">
        <v>152.80000000000001</v>
      </c>
      <c r="CX26" s="37">
        <v>153.6</v>
      </c>
      <c r="CY26" s="37">
        <v>154.19999999999999</v>
      </c>
      <c r="CZ26" s="37">
        <v>155.80000000000001</v>
      </c>
      <c r="DA26" s="37">
        <v>156.4</v>
      </c>
      <c r="DB26" s="37">
        <v>157.30000000000001</v>
      </c>
      <c r="DC26" s="37">
        <v>160.4</v>
      </c>
      <c r="DD26" s="37">
        <v>160.69999999999999</v>
      </c>
      <c r="DE26" s="37">
        <v>161.4</v>
      </c>
      <c r="DF26" s="37">
        <v>163.19999999999999</v>
      </c>
      <c r="DG26" s="37">
        <v>163.30000000000001</v>
      </c>
      <c r="DH26" s="37">
        <v>164.3</v>
      </c>
      <c r="DI26" s="37">
        <v>165.8</v>
      </c>
      <c r="DJ26" s="37">
        <v>167</v>
      </c>
      <c r="DK26" s="37">
        <v>168.5</v>
      </c>
      <c r="DL26" s="37">
        <v>169.6</v>
      </c>
      <c r="DM26" s="37">
        <v>171.1</v>
      </c>
      <c r="DN26" s="37">
        <v>172.8</v>
      </c>
      <c r="DO26" s="37">
        <v>174.6</v>
      </c>
      <c r="DP26" s="37">
        <v>176</v>
      </c>
      <c r="DQ26" s="37">
        <v>177.3</v>
      </c>
      <c r="DR26" s="37">
        <v>178.5</v>
      </c>
      <c r="DS26" s="37">
        <v>179.9</v>
      </c>
      <c r="DT26" s="37">
        <v>181</v>
      </c>
      <c r="DU26" s="37">
        <v>182.1</v>
      </c>
      <c r="DV26" s="37">
        <v>183</v>
      </c>
      <c r="DW26" s="37">
        <v>183.8</v>
      </c>
      <c r="DX26" s="37">
        <v>185.1</v>
      </c>
      <c r="DY26" s="37">
        <v>185.1</v>
      </c>
      <c r="DZ26" s="37">
        <v>185.7</v>
      </c>
      <c r="EA26" s="37">
        <v>186.2</v>
      </c>
    </row>
    <row r="27" spans="4:131" x14ac:dyDescent="0.35">
      <c r="D27" s="40" t="s">
        <v>20</v>
      </c>
      <c r="E27" s="37" t="s">
        <v>63</v>
      </c>
      <c r="F27" s="37" t="s">
        <v>34</v>
      </c>
      <c r="G27" s="37">
        <v>100.3</v>
      </c>
      <c r="H27" s="37">
        <v>100.4</v>
      </c>
      <c r="I27" s="37">
        <v>100.4</v>
      </c>
      <c r="J27" s="37">
        <v>100.5</v>
      </c>
      <c r="K27" s="37">
        <v>100.5</v>
      </c>
      <c r="L27" s="37">
        <v>106.6</v>
      </c>
      <c r="M27" s="37">
        <v>107.7</v>
      </c>
      <c r="N27" s="37">
        <v>108.9</v>
      </c>
      <c r="O27" s="37">
        <v>109.7</v>
      </c>
      <c r="P27" s="37">
        <v>110.5</v>
      </c>
      <c r="Q27" s="37">
        <v>111.1</v>
      </c>
      <c r="R27" s="37">
        <v>110.7</v>
      </c>
      <c r="S27" s="37">
        <v>111.6</v>
      </c>
      <c r="T27" s="37">
        <v>112.5</v>
      </c>
      <c r="U27" s="37">
        <v>113.2</v>
      </c>
      <c r="V27" s="37">
        <v>113.9</v>
      </c>
      <c r="W27" s="37">
        <v>114.3</v>
      </c>
      <c r="X27" s="37">
        <v>113.9</v>
      </c>
      <c r="Y27" s="37">
        <v>114.8</v>
      </c>
      <c r="Z27" s="37">
        <v>115.5</v>
      </c>
      <c r="AA27" s="37">
        <v>116.1</v>
      </c>
      <c r="AB27" s="37">
        <v>116.7</v>
      </c>
      <c r="AC27" s="37">
        <v>117.1</v>
      </c>
      <c r="AD27" s="37">
        <v>116.5</v>
      </c>
      <c r="AE27" s="37">
        <v>117.3</v>
      </c>
      <c r="AF27" s="37">
        <v>118.1</v>
      </c>
      <c r="AG27" s="37">
        <v>118.6</v>
      </c>
      <c r="AH27" s="37">
        <v>119.2</v>
      </c>
      <c r="AI27" s="37">
        <v>119.6</v>
      </c>
      <c r="AJ27" s="37">
        <v>119</v>
      </c>
      <c r="AK27" s="37">
        <v>119.9</v>
      </c>
      <c r="AL27" s="37">
        <v>120.9</v>
      </c>
      <c r="AM27" s="37">
        <v>121.6</v>
      </c>
      <c r="AN27" s="37">
        <v>122.4</v>
      </c>
      <c r="AO27" s="37">
        <v>122.9</v>
      </c>
      <c r="AP27" s="37">
        <v>122.4</v>
      </c>
      <c r="AQ27" s="37">
        <v>123.4</v>
      </c>
      <c r="AR27" s="37">
        <v>124.4</v>
      </c>
      <c r="AS27" s="37">
        <v>124.9</v>
      </c>
      <c r="AT27" s="37">
        <v>125.6</v>
      </c>
      <c r="AU27" s="37">
        <v>126</v>
      </c>
      <c r="AV27" s="37">
        <v>125.5</v>
      </c>
      <c r="AW27" s="37">
        <v>126.4</v>
      </c>
      <c r="AX27" s="37">
        <v>127.3</v>
      </c>
      <c r="AY27" s="37">
        <v>127.9</v>
      </c>
      <c r="AZ27" s="37">
        <v>128.69999999999999</v>
      </c>
      <c r="BA27" s="37">
        <v>129.1</v>
      </c>
      <c r="BB27" s="37">
        <v>128.5</v>
      </c>
      <c r="BC27" s="37">
        <v>129.6</v>
      </c>
      <c r="BD27" s="37">
        <v>130.5</v>
      </c>
      <c r="BE27" s="37">
        <v>131.1</v>
      </c>
      <c r="BF27" s="37">
        <v>131.69999999999999</v>
      </c>
      <c r="BG27" s="37">
        <v>132.1</v>
      </c>
      <c r="BH27" s="37">
        <v>131.4</v>
      </c>
      <c r="BI27" s="37">
        <v>132.6</v>
      </c>
      <c r="BJ27" s="37">
        <v>134.4</v>
      </c>
      <c r="BK27" s="37">
        <v>135.69999999999999</v>
      </c>
      <c r="BL27" s="37">
        <v>137.30000000000001</v>
      </c>
      <c r="BM27" s="37">
        <v>138.6</v>
      </c>
      <c r="BN27" s="37">
        <v>139.1</v>
      </c>
      <c r="BO27" s="37">
        <v>140.4</v>
      </c>
      <c r="BP27" s="37">
        <v>141.30000000000001</v>
      </c>
      <c r="BQ27" s="37">
        <v>142</v>
      </c>
      <c r="BR27" s="37">
        <v>142.9</v>
      </c>
      <c r="BS27" s="37">
        <v>143.19999999999999</v>
      </c>
      <c r="BT27" s="37">
        <v>142.5</v>
      </c>
      <c r="BU27" s="37">
        <v>143.6</v>
      </c>
      <c r="BV27" s="37">
        <v>144.6</v>
      </c>
      <c r="BW27" s="37">
        <v>145.30000000000001</v>
      </c>
      <c r="BX27" s="37">
        <v>146.9</v>
      </c>
      <c r="BY27" s="37">
        <v>146.9</v>
      </c>
      <c r="BZ27" s="37">
        <v>146.5</v>
      </c>
      <c r="CA27" s="37">
        <v>147.69999999999999</v>
      </c>
      <c r="CB27" s="37">
        <v>148.5</v>
      </c>
      <c r="CC27" s="37">
        <v>149</v>
      </c>
      <c r="CD27" s="37">
        <v>149.55000000000001</v>
      </c>
      <c r="CE27" s="37">
        <v>150.1</v>
      </c>
      <c r="CF27" s="37">
        <v>149.4</v>
      </c>
      <c r="CG27" s="37">
        <v>150.6</v>
      </c>
      <c r="CH27" s="37">
        <v>151.6</v>
      </c>
      <c r="CI27" s="37">
        <v>152.19999999999999</v>
      </c>
      <c r="CJ27" s="37">
        <v>153</v>
      </c>
      <c r="CK27" s="37">
        <v>153.5</v>
      </c>
      <c r="CL27" s="37">
        <v>152.80000000000001</v>
      </c>
      <c r="CM27" s="37">
        <v>153.9</v>
      </c>
      <c r="CN27" s="37">
        <v>154.80000000000001</v>
      </c>
      <c r="CO27" s="37">
        <v>154.5</v>
      </c>
      <c r="CP27" s="37">
        <v>155.6</v>
      </c>
      <c r="CQ27" s="37">
        <v>155.14999999999998</v>
      </c>
      <c r="CR27" s="37">
        <v>154.69999999999999</v>
      </c>
      <c r="CS27" s="37">
        <v>154.69999999999999</v>
      </c>
      <c r="CT27" s="37">
        <v>155.5</v>
      </c>
      <c r="CU27" s="37">
        <v>156.30000000000001</v>
      </c>
      <c r="CV27" s="37">
        <v>156.5</v>
      </c>
      <c r="CW27" s="37">
        <v>158</v>
      </c>
      <c r="CX27" s="37">
        <v>158.4</v>
      </c>
      <c r="CY27" s="37">
        <v>157.69999999999999</v>
      </c>
      <c r="CZ27" s="37">
        <v>159.80000000000001</v>
      </c>
      <c r="DA27" s="37">
        <v>159.9</v>
      </c>
      <c r="DB27" s="37">
        <v>161.4</v>
      </c>
      <c r="DC27" s="37">
        <v>161.6</v>
      </c>
      <c r="DD27" s="37">
        <v>160.5</v>
      </c>
      <c r="DE27" s="37">
        <v>161.5</v>
      </c>
      <c r="DF27" s="37">
        <v>162.1</v>
      </c>
      <c r="DG27" s="37">
        <v>162.1</v>
      </c>
      <c r="DH27" s="37">
        <v>163.6</v>
      </c>
      <c r="DI27" s="37">
        <v>164.2</v>
      </c>
      <c r="DJ27" s="37">
        <v>163.4</v>
      </c>
      <c r="DK27" s="37">
        <v>164.5</v>
      </c>
      <c r="DL27" s="37">
        <v>165.5</v>
      </c>
      <c r="DM27" s="37">
        <v>165.3</v>
      </c>
      <c r="DN27" s="37">
        <v>167</v>
      </c>
      <c r="DO27" s="37">
        <v>167.5</v>
      </c>
      <c r="DP27" s="37">
        <v>166.8</v>
      </c>
      <c r="DQ27" s="37">
        <v>167.8</v>
      </c>
      <c r="DR27" s="37">
        <v>169</v>
      </c>
      <c r="DS27" s="37">
        <v>169.5</v>
      </c>
      <c r="DT27" s="37">
        <v>171.2</v>
      </c>
      <c r="DU27" s="37">
        <v>171.8</v>
      </c>
      <c r="DV27" s="37">
        <v>170.7</v>
      </c>
      <c r="DW27" s="37">
        <v>172.1</v>
      </c>
      <c r="DX27" s="37">
        <v>173.5</v>
      </c>
      <c r="DY27" s="37">
        <v>173.5</v>
      </c>
      <c r="DZ27" s="37">
        <v>175.2</v>
      </c>
      <c r="EA27" s="37">
        <v>175.6</v>
      </c>
    </row>
    <row r="28" spans="4:131" x14ac:dyDescent="0.35">
      <c r="D28" s="40" t="s">
        <v>21</v>
      </c>
      <c r="E28" s="44" t="s">
        <v>62</v>
      </c>
      <c r="F28" s="37" t="s">
        <v>34</v>
      </c>
      <c r="G28" s="37">
        <v>105.5</v>
      </c>
      <c r="H28" s="37">
        <v>106</v>
      </c>
      <c r="I28" s="37">
        <v>106.1</v>
      </c>
      <c r="J28" s="37">
        <v>106.5</v>
      </c>
      <c r="K28" s="37">
        <v>107.4</v>
      </c>
      <c r="L28" s="37">
        <v>108.3</v>
      </c>
      <c r="M28" s="37">
        <v>109.2</v>
      </c>
      <c r="N28" s="37">
        <v>109.7</v>
      </c>
      <c r="O28" s="37">
        <v>110.5</v>
      </c>
      <c r="P28" s="37">
        <v>110.9</v>
      </c>
      <c r="Q28" s="37">
        <v>111.6</v>
      </c>
      <c r="R28" s="37">
        <v>111.9</v>
      </c>
      <c r="S28" s="37">
        <v>112.2</v>
      </c>
      <c r="T28" s="37">
        <v>112.4</v>
      </c>
      <c r="U28" s="37">
        <v>112.5</v>
      </c>
      <c r="V28" s="37">
        <v>112.5</v>
      </c>
      <c r="W28" s="37">
        <v>112.5</v>
      </c>
      <c r="X28" s="37">
        <v>113.2</v>
      </c>
      <c r="Y28" s="37">
        <v>113.9</v>
      </c>
      <c r="Z28" s="37">
        <v>114</v>
      </c>
      <c r="AA28" s="37">
        <v>114.3</v>
      </c>
      <c r="AB28" s="37">
        <v>114.7</v>
      </c>
      <c r="AC28" s="37">
        <v>115.5</v>
      </c>
      <c r="AD28" s="37">
        <v>115.7</v>
      </c>
      <c r="AE28" s="37">
        <v>116.5</v>
      </c>
      <c r="AF28" s="37">
        <v>117.7</v>
      </c>
      <c r="AG28" s="37">
        <v>118.3</v>
      </c>
      <c r="AH28" s="37">
        <v>118.7</v>
      </c>
      <c r="AI28" s="37">
        <v>119.2</v>
      </c>
      <c r="AJ28" s="37">
        <v>119.8</v>
      </c>
      <c r="AK28" s="37">
        <v>120.1</v>
      </c>
      <c r="AL28" s="37">
        <v>120.6</v>
      </c>
      <c r="AM28" s="37">
        <v>120.4</v>
      </c>
      <c r="AN28" s="37">
        <v>120.8</v>
      </c>
      <c r="AO28" s="37">
        <v>121.6</v>
      </c>
      <c r="AP28" s="37">
        <v>122</v>
      </c>
      <c r="AQ28" s="37">
        <v>122.7</v>
      </c>
      <c r="AR28" s="37">
        <v>123.1</v>
      </c>
      <c r="AS28" s="37">
        <v>122.4</v>
      </c>
      <c r="AT28" s="37">
        <v>122.3</v>
      </c>
      <c r="AU28" s="37">
        <v>122.7</v>
      </c>
      <c r="AV28" s="37">
        <v>123.3</v>
      </c>
      <c r="AW28" s="37">
        <v>123.4</v>
      </c>
      <c r="AX28" s="37">
        <v>123.6</v>
      </c>
      <c r="AY28" s="37">
        <v>124.1</v>
      </c>
      <c r="AZ28" s="37">
        <v>124.3</v>
      </c>
      <c r="BA28" s="37">
        <v>125</v>
      </c>
      <c r="BB28" s="37">
        <v>126.6</v>
      </c>
      <c r="BC28" s="37">
        <v>126.8</v>
      </c>
      <c r="BD28" s="37">
        <v>127.9</v>
      </c>
      <c r="BE28" s="37">
        <v>129.1</v>
      </c>
      <c r="BF28" s="37">
        <v>129.80000000000001</v>
      </c>
      <c r="BG28" s="37">
        <v>129.4</v>
      </c>
      <c r="BH28" s="37">
        <v>128.80000000000001</v>
      </c>
      <c r="BI28" s="37">
        <v>129.4</v>
      </c>
      <c r="BJ28" s="37">
        <v>129.80000000000001</v>
      </c>
      <c r="BK28" s="37">
        <v>131</v>
      </c>
      <c r="BL28" s="37">
        <v>132.19999999999999</v>
      </c>
      <c r="BM28" s="37">
        <v>135.30000000000001</v>
      </c>
      <c r="BN28" s="37">
        <v>136.6</v>
      </c>
      <c r="BO28" s="37">
        <v>136.6</v>
      </c>
      <c r="BP28" s="37">
        <v>136.69999999999999</v>
      </c>
      <c r="BQ28" s="37">
        <v>136.5</v>
      </c>
      <c r="BR28" s="37">
        <v>136.5</v>
      </c>
      <c r="BS28" s="37">
        <v>136.9</v>
      </c>
      <c r="BT28" s="37">
        <v>138.1</v>
      </c>
      <c r="BU28" s="37">
        <v>139.69999999999999</v>
      </c>
      <c r="BV28" s="37">
        <v>140.9</v>
      </c>
      <c r="BW28" s="37">
        <v>142.30000000000001</v>
      </c>
      <c r="BX28" s="37">
        <v>145.30000000000001</v>
      </c>
      <c r="BY28" s="37">
        <v>145.1</v>
      </c>
      <c r="BZ28" s="37">
        <v>142.69999999999999</v>
      </c>
      <c r="CA28" s="37">
        <v>139.5</v>
      </c>
      <c r="CB28" s="37">
        <v>138.4</v>
      </c>
      <c r="CC28" s="37">
        <v>139.69999999999999</v>
      </c>
      <c r="CD28" s="37">
        <v>140</v>
      </c>
      <c r="CE28" s="37">
        <v>140.30000000000001</v>
      </c>
      <c r="CF28" s="37">
        <v>141.19999999999999</v>
      </c>
      <c r="CG28" s="37">
        <v>139.30000000000001</v>
      </c>
      <c r="CH28" s="37">
        <v>138.5</v>
      </c>
      <c r="CI28" s="37">
        <v>139.19999999999999</v>
      </c>
      <c r="CJ28" s="37">
        <v>140.6</v>
      </c>
      <c r="CK28" s="37">
        <v>142.30000000000001</v>
      </c>
      <c r="CL28" s="37">
        <v>143.69999999999999</v>
      </c>
      <c r="CM28" s="37">
        <v>144.6</v>
      </c>
      <c r="CN28" s="37">
        <v>147.19999999999999</v>
      </c>
      <c r="CO28" s="37">
        <v>148.9</v>
      </c>
      <c r="CP28" s="37">
        <v>144.1</v>
      </c>
      <c r="CQ28" s="37">
        <v>143</v>
      </c>
      <c r="CR28" s="37">
        <v>141.9</v>
      </c>
      <c r="CS28" s="37">
        <v>141.9</v>
      </c>
      <c r="CT28" s="37">
        <v>143</v>
      </c>
      <c r="CU28" s="37">
        <v>142.9</v>
      </c>
      <c r="CV28" s="37">
        <v>143.1</v>
      </c>
      <c r="CW28" s="37">
        <v>143.6</v>
      </c>
      <c r="CX28" s="37">
        <v>144.6</v>
      </c>
      <c r="CY28" s="37">
        <v>147.9</v>
      </c>
      <c r="CZ28" s="37">
        <v>152.4</v>
      </c>
      <c r="DA28" s="37">
        <v>155.5</v>
      </c>
      <c r="DB28" s="37">
        <v>155.6</v>
      </c>
      <c r="DC28" s="37">
        <v>159.4</v>
      </c>
      <c r="DD28" s="37">
        <v>159.80000000000001</v>
      </c>
      <c r="DE28" s="37">
        <v>160.69999999999999</v>
      </c>
      <c r="DF28" s="37">
        <v>162.6</v>
      </c>
      <c r="DG28" s="37">
        <v>162.6</v>
      </c>
      <c r="DH28" s="37">
        <v>164.2</v>
      </c>
      <c r="DI28" s="37">
        <v>163.9</v>
      </c>
      <c r="DJ28" s="37">
        <v>164.1</v>
      </c>
      <c r="DK28" s="37">
        <v>164.2</v>
      </c>
      <c r="DL28" s="37">
        <v>165.7</v>
      </c>
      <c r="DM28" s="37">
        <v>167.2</v>
      </c>
      <c r="DN28" s="37">
        <v>172.2</v>
      </c>
      <c r="DO28" s="37">
        <v>174.6</v>
      </c>
      <c r="DP28" s="37">
        <v>176</v>
      </c>
      <c r="DQ28" s="37">
        <v>179.6</v>
      </c>
      <c r="DR28" s="37">
        <v>178.8</v>
      </c>
      <c r="DS28" s="37">
        <v>179.5</v>
      </c>
      <c r="DT28" s="37">
        <v>180.5</v>
      </c>
      <c r="DU28" s="37">
        <v>181.3</v>
      </c>
      <c r="DV28" s="37">
        <v>182</v>
      </c>
      <c r="DW28" s="37">
        <v>182</v>
      </c>
      <c r="DX28" s="37">
        <v>182.1</v>
      </c>
      <c r="DY28" s="37">
        <v>181.9</v>
      </c>
      <c r="DZ28" s="37">
        <v>181.7</v>
      </c>
      <c r="EA28" s="37">
        <v>182.8</v>
      </c>
    </row>
    <row r="29" spans="4:131" x14ac:dyDescent="0.35">
      <c r="D29" s="40" t="s">
        <v>22</v>
      </c>
      <c r="E29" s="44" t="s">
        <v>62</v>
      </c>
      <c r="F29" s="37" t="s">
        <v>34</v>
      </c>
      <c r="G29" s="37">
        <v>104.8</v>
      </c>
      <c r="H29" s="37">
        <v>105.2</v>
      </c>
      <c r="I29" s="37">
        <v>105.6</v>
      </c>
      <c r="J29" s="37">
        <v>106.3</v>
      </c>
      <c r="K29" s="37">
        <v>106.9</v>
      </c>
      <c r="L29" s="37">
        <v>107.6</v>
      </c>
      <c r="M29" s="37">
        <v>108.2</v>
      </c>
      <c r="N29" s="37">
        <v>108.7</v>
      </c>
      <c r="O29" s="37">
        <v>109.6</v>
      </c>
      <c r="P29" s="37">
        <v>110.3</v>
      </c>
      <c r="Q29" s="37">
        <v>111.1</v>
      </c>
      <c r="R29" s="37">
        <v>111.7</v>
      </c>
      <c r="S29" s="37">
        <v>112.3</v>
      </c>
      <c r="T29" s="37">
        <v>112.8</v>
      </c>
      <c r="U29" s="37">
        <v>113.2</v>
      </c>
      <c r="V29" s="37">
        <v>113.6</v>
      </c>
      <c r="W29" s="37">
        <v>114.1</v>
      </c>
      <c r="X29" s="37">
        <v>114.6</v>
      </c>
      <c r="Y29" s="37">
        <v>115.2</v>
      </c>
      <c r="Z29" s="37">
        <v>115.6</v>
      </c>
      <c r="AA29" s="37">
        <v>116.1</v>
      </c>
      <c r="AB29" s="37">
        <v>116.7</v>
      </c>
      <c r="AC29" s="37">
        <v>117.3</v>
      </c>
      <c r="AD29" s="37">
        <v>117.5</v>
      </c>
      <c r="AE29" s="37">
        <v>118.1</v>
      </c>
      <c r="AF29" s="37">
        <v>118.7</v>
      </c>
      <c r="AG29" s="37">
        <v>119.2</v>
      </c>
      <c r="AH29" s="37">
        <v>119.7</v>
      </c>
      <c r="AI29" s="37">
        <v>120.2</v>
      </c>
      <c r="AJ29" s="37">
        <v>121.1</v>
      </c>
      <c r="AK29" s="37">
        <v>121.3</v>
      </c>
      <c r="AL29" s="37">
        <v>122</v>
      </c>
      <c r="AM29" s="37">
        <v>122.6</v>
      </c>
      <c r="AN29" s="37">
        <v>123</v>
      </c>
      <c r="AO29" s="37">
        <v>123.4</v>
      </c>
      <c r="AP29" s="37">
        <v>123.6</v>
      </c>
      <c r="AQ29" s="37">
        <v>124.2</v>
      </c>
      <c r="AR29" s="37">
        <v>124.6</v>
      </c>
      <c r="AS29" s="37">
        <v>125.1</v>
      </c>
      <c r="AT29" s="37">
        <v>125.5</v>
      </c>
      <c r="AU29" s="37">
        <v>126</v>
      </c>
      <c r="AV29" s="37">
        <v>126.4</v>
      </c>
      <c r="AW29" s="37">
        <v>126.9</v>
      </c>
      <c r="AX29" s="37">
        <v>127.4</v>
      </c>
      <c r="AY29" s="37">
        <v>127.9</v>
      </c>
      <c r="AZ29" s="37">
        <v>128.4</v>
      </c>
      <c r="BA29" s="37">
        <v>128.6</v>
      </c>
      <c r="BB29" s="37">
        <v>129.19999999999999</v>
      </c>
      <c r="BC29" s="37">
        <v>129.4</v>
      </c>
      <c r="BD29" s="37">
        <v>129.69999999999999</v>
      </c>
      <c r="BE29" s="37">
        <v>130.1</v>
      </c>
      <c r="BF29" s="37">
        <v>130.4</v>
      </c>
      <c r="BG29" s="37">
        <v>130.9</v>
      </c>
      <c r="BH29" s="37">
        <v>131.19999999999999</v>
      </c>
      <c r="BI29" s="37">
        <v>131.9</v>
      </c>
      <c r="BJ29" s="37">
        <v>132.80000000000001</v>
      </c>
      <c r="BK29" s="37">
        <v>133.30000000000001</v>
      </c>
      <c r="BL29" s="37">
        <v>133.6</v>
      </c>
      <c r="BM29" s="37">
        <v>134.4</v>
      </c>
      <c r="BN29" s="37">
        <v>134.69999999999999</v>
      </c>
      <c r="BO29" s="37">
        <v>134.9</v>
      </c>
      <c r="BP29" s="37">
        <v>135.19999999999999</v>
      </c>
      <c r="BQ29" s="37">
        <v>135.6</v>
      </c>
      <c r="BR29" s="37">
        <v>136.6</v>
      </c>
      <c r="BS29" s="37">
        <v>137.4</v>
      </c>
      <c r="BT29" s="37">
        <v>137.9</v>
      </c>
      <c r="BU29" s="37">
        <v>138.6</v>
      </c>
      <c r="BV29" s="37">
        <v>139.4</v>
      </c>
      <c r="BW29" s="37">
        <v>139.69999999999999</v>
      </c>
      <c r="BX29" s="37">
        <v>142.19999999999999</v>
      </c>
      <c r="BY29" s="37">
        <v>142.19999999999999</v>
      </c>
      <c r="BZ29" s="37">
        <v>143.19999999999999</v>
      </c>
      <c r="CA29" s="37">
        <v>143.6</v>
      </c>
      <c r="CB29" s="37">
        <v>143.69999999999999</v>
      </c>
      <c r="CC29" s="37">
        <v>143.80000000000001</v>
      </c>
      <c r="CD29" s="37">
        <v>143.75</v>
      </c>
      <c r="CE29" s="37">
        <v>143.69999999999999</v>
      </c>
      <c r="CF29" s="37">
        <v>143.80000000000001</v>
      </c>
      <c r="CG29" s="37">
        <v>144.19999999999999</v>
      </c>
      <c r="CH29" s="37">
        <v>144.5</v>
      </c>
      <c r="CI29" s="37">
        <v>144.6</v>
      </c>
      <c r="CJ29" s="37">
        <v>145</v>
      </c>
      <c r="CK29" s="37">
        <v>145.30000000000001</v>
      </c>
      <c r="CL29" s="37">
        <v>145.80000000000001</v>
      </c>
      <c r="CM29" s="37">
        <v>146.19999999999999</v>
      </c>
      <c r="CN29" s="37">
        <v>146.4</v>
      </c>
      <c r="CO29" s="37">
        <v>146.4</v>
      </c>
      <c r="CP29" s="37">
        <v>146.4</v>
      </c>
      <c r="CQ29" s="37">
        <v>146.4</v>
      </c>
      <c r="CR29" s="37">
        <v>146.4</v>
      </c>
      <c r="CS29" s="37">
        <v>146.4</v>
      </c>
      <c r="CT29" s="37">
        <v>148.4</v>
      </c>
      <c r="CU29" s="37">
        <v>148.69999999999999</v>
      </c>
      <c r="CV29" s="37">
        <v>148.69999999999999</v>
      </c>
      <c r="CW29" s="37">
        <v>149.19999999999999</v>
      </c>
      <c r="CX29" s="37">
        <v>149.69999999999999</v>
      </c>
      <c r="CY29" s="37">
        <v>150</v>
      </c>
      <c r="CZ29" s="37">
        <v>150.9</v>
      </c>
      <c r="DA29" s="37">
        <v>151.19999999999999</v>
      </c>
      <c r="DB29" s="37">
        <v>151.80000000000001</v>
      </c>
      <c r="DC29" s="37">
        <v>154.69999999999999</v>
      </c>
      <c r="DD29" s="37">
        <v>154.80000000000001</v>
      </c>
      <c r="DE29" s="37">
        <v>155.80000000000001</v>
      </c>
      <c r="DF29" s="37">
        <v>157.5</v>
      </c>
      <c r="DG29" s="37">
        <v>157.5</v>
      </c>
      <c r="DH29" s="37">
        <v>158.4</v>
      </c>
      <c r="DI29" s="37">
        <v>159.30000000000001</v>
      </c>
      <c r="DJ29" s="37">
        <v>160.19999999999999</v>
      </c>
      <c r="DK29" s="37">
        <v>161.1</v>
      </c>
      <c r="DL29" s="37">
        <v>161.80000000000001</v>
      </c>
      <c r="DM29" s="37">
        <v>162.80000000000001</v>
      </c>
      <c r="DN29" s="37">
        <v>164</v>
      </c>
      <c r="DO29" s="37">
        <v>165.2</v>
      </c>
      <c r="DP29" s="37">
        <v>166.4</v>
      </c>
      <c r="DQ29" s="37">
        <v>167.4</v>
      </c>
      <c r="DR29" s="37">
        <v>168.5</v>
      </c>
      <c r="DS29" s="37">
        <v>169.5</v>
      </c>
      <c r="DT29" s="37">
        <v>170.4</v>
      </c>
      <c r="DU29" s="37">
        <v>171.4</v>
      </c>
      <c r="DV29" s="37">
        <v>172.1</v>
      </c>
      <c r="DW29" s="37">
        <v>172.9</v>
      </c>
      <c r="DX29" s="37">
        <v>174.2</v>
      </c>
      <c r="DY29" s="37">
        <v>174.2</v>
      </c>
      <c r="DZ29" s="37">
        <v>174.6</v>
      </c>
      <c r="EA29" s="37">
        <v>175.2</v>
      </c>
    </row>
    <row r="30" spans="4:131" x14ac:dyDescent="0.35">
      <c r="D30" s="40" t="s">
        <v>23</v>
      </c>
      <c r="E30" s="37" t="s">
        <v>23</v>
      </c>
      <c r="F30" s="37" t="s">
        <v>34</v>
      </c>
      <c r="G30" s="37">
        <v>104</v>
      </c>
      <c r="H30" s="37">
        <v>104.5</v>
      </c>
      <c r="I30" s="37">
        <v>104.9</v>
      </c>
      <c r="J30" s="37">
        <v>105.3</v>
      </c>
      <c r="K30" s="37">
        <v>105.9</v>
      </c>
      <c r="L30" s="37">
        <v>106.4</v>
      </c>
      <c r="M30" s="37">
        <v>107</v>
      </c>
      <c r="N30" s="37">
        <v>107.5</v>
      </c>
      <c r="O30" s="37">
        <v>108.1</v>
      </c>
      <c r="P30" s="37">
        <v>108.6</v>
      </c>
      <c r="Q30" s="37">
        <v>109.3</v>
      </c>
      <c r="R30" s="37">
        <v>109.7</v>
      </c>
      <c r="S30" s="37">
        <v>110.3</v>
      </c>
      <c r="T30" s="37">
        <v>110.7</v>
      </c>
      <c r="U30" s="37">
        <v>111.2</v>
      </c>
      <c r="V30" s="37">
        <v>111.5</v>
      </c>
      <c r="W30" s="37">
        <v>111.8</v>
      </c>
      <c r="X30" s="37">
        <v>112.3</v>
      </c>
      <c r="Y30" s="37">
        <v>112.7</v>
      </c>
      <c r="Z30" s="37">
        <v>113.3</v>
      </c>
      <c r="AA30" s="37">
        <v>113.7</v>
      </c>
      <c r="AB30" s="37">
        <v>114.3</v>
      </c>
      <c r="AC30" s="37">
        <v>114.8</v>
      </c>
      <c r="AD30" s="37">
        <v>115.1</v>
      </c>
      <c r="AE30" s="37">
        <v>115.5</v>
      </c>
      <c r="AF30" s="37">
        <v>116.3</v>
      </c>
      <c r="AG30" s="37">
        <v>116.7</v>
      </c>
      <c r="AH30" s="37">
        <v>117.1</v>
      </c>
      <c r="AI30" s="37">
        <v>117.7</v>
      </c>
      <c r="AJ30" s="37">
        <v>118.5</v>
      </c>
      <c r="AK30" s="37">
        <v>119</v>
      </c>
      <c r="AL30" s="37">
        <v>119.4</v>
      </c>
      <c r="AM30" s="37">
        <v>119.8</v>
      </c>
      <c r="AN30" s="37">
        <v>120.4</v>
      </c>
      <c r="AO30" s="37">
        <v>120.9</v>
      </c>
      <c r="AP30" s="37">
        <v>121.4</v>
      </c>
      <c r="AQ30" s="37">
        <v>122</v>
      </c>
      <c r="AR30" s="37">
        <v>122.5</v>
      </c>
      <c r="AS30" s="37">
        <v>122.9</v>
      </c>
      <c r="AT30" s="37">
        <v>123.2</v>
      </c>
      <c r="AU30" s="37">
        <v>123.7</v>
      </c>
      <c r="AV30" s="37">
        <v>124.1</v>
      </c>
      <c r="AW30" s="37">
        <v>124.5</v>
      </c>
      <c r="AX30" s="37">
        <v>124.8</v>
      </c>
      <c r="AY30" s="37">
        <v>125.4</v>
      </c>
      <c r="AZ30" s="37">
        <v>126.1</v>
      </c>
      <c r="BA30" s="37">
        <v>126.4</v>
      </c>
      <c r="BB30" s="37">
        <v>126.9</v>
      </c>
      <c r="BC30" s="37">
        <v>127.1</v>
      </c>
      <c r="BD30" s="37">
        <v>127.4</v>
      </c>
      <c r="BE30" s="37">
        <v>127.8</v>
      </c>
      <c r="BF30" s="37">
        <v>128.1</v>
      </c>
      <c r="BG30" s="37">
        <v>128.4</v>
      </c>
      <c r="BH30" s="37">
        <v>128.5</v>
      </c>
      <c r="BI30" s="37">
        <v>129.4</v>
      </c>
      <c r="BJ30" s="37">
        <v>130.19999999999999</v>
      </c>
      <c r="BK30" s="37">
        <v>130.6</v>
      </c>
      <c r="BL30" s="37">
        <v>131.30000000000001</v>
      </c>
      <c r="BM30" s="37">
        <v>132.6</v>
      </c>
      <c r="BN30" s="37">
        <v>133.1</v>
      </c>
      <c r="BO30" s="37">
        <v>133.30000000000001</v>
      </c>
      <c r="BP30" s="37">
        <v>133.80000000000001</v>
      </c>
      <c r="BQ30" s="37">
        <v>134.30000000000001</v>
      </c>
      <c r="BR30" s="37">
        <v>135.19999999999999</v>
      </c>
      <c r="BS30" s="37">
        <v>136</v>
      </c>
      <c r="BT30" s="37">
        <v>136.19999999999999</v>
      </c>
      <c r="BU30" s="37">
        <v>137</v>
      </c>
      <c r="BV30" s="37">
        <v>137.69999999999999</v>
      </c>
      <c r="BW30" s="37">
        <v>138.4</v>
      </c>
      <c r="BX30" s="37">
        <v>142.1</v>
      </c>
      <c r="BY30" s="37">
        <v>142.1</v>
      </c>
      <c r="BZ30" s="37">
        <v>144.9</v>
      </c>
      <c r="CA30" s="37">
        <v>145.1</v>
      </c>
      <c r="CB30" s="37">
        <v>145.6</v>
      </c>
      <c r="CC30" s="37">
        <v>146.19999999999999</v>
      </c>
      <c r="CD30" s="37">
        <v>146.55000000000001</v>
      </c>
      <c r="CE30" s="37">
        <v>146.9</v>
      </c>
      <c r="CF30" s="37">
        <v>147.4</v>
      </c>
      <c r="CG30" s="37">
        <v>147.9</v>
      </c>
      <c r="CH30" s="37">
        <v>148.5</v>
      </c>
      <c r="CI30" s="37">
        <v>149</v>
      </c>
      <c r="CJ30" s="37">
        <v>149.4</v>
      </c>
      <c r="CK30" s="37">
        <v>149.9</v>
      </c>
      <c r="CL30" s="37">
        <v>150.4</v>
      </c>
      <c r="CM30" s="37">
        <v>151.19999999999999</v>
      </c>
      <c r="CN30" s="37">
        <v>151.69999999999999</v>
      </c>
      <c r="CO30" s="37">
        <v>152.30000000000001</v>
      </c>
      <c r="CP30" s="37">
        <v>150.69999999999999</v>
      </c>
      <c r="CQ30" s="37">
        <v>152.55000000000001</v>
      </c>
      <c r="CR30" s="37">
        <v>154.4</v>
      </c>
      <c r="CS30" s="37">
        <v>154.4</v>
      </c>
      <c r="CT30" s="37">
        <v>155</v>
      </c>
      <c r="CU30" s="37">
        <v>155.6</v>
      </c>
      <c r="CV30" s="37">
        <v>156.30000000000001</v>
      </c>
      <c r="CW30" s="37">
        <v>157.19999999999999</v>
      </c>
      <c r="CX30" s="37">
        <v>158.30000000000001</v>
      </c>
      <c r="CY30" s="37">
        <v>159.30000000000001</v>
      </c>
      <c r="CZ30" s="37">
        <v>161.30000000000001</v>
      </c>
      <c r="DA30" s="37">
        <v>161.69999999999999</v>
      </c>
      <c r="DB30" s="37">
        <v>162.30000000000001</v>
      </c>
      <c r="DC30" s="37">
        <v>165.8</v>
      </c>
      <c r="DD30" s="37">
        <v>166.3</v>
      </c>
      <c r="DE30" s="37">
        <v>167</v>
      </c>
      <c r="DF30" s="37">
        <v>168.4</v>
      </c>
      <c r="DG30" s="37">
        <v>168.4</v>
      </c>
      <c r="DH30" s="37">
        <v>169.1</v>
      </c>
      <c r="DI30" s="37">
        <v>169.9</v>
      </c>
      <c r="DJ30" s="37">
        <v>170.6</v>
      </c>
      <c r="DK30" s="37">
        <v>171.4</v>
      </c>
      <c r="DL30" s="37">
        <v>172.2</v>
      </c>
      <c r="DM30" s="37">
        <v>173</v>
      </c>
      <c r="DN30" s="37">
        <v>174</v>
      </c>
      <c r="DO30" s="37">
        <v>174.8</v>
      </c>
      <c r="DP30" s="37">
        <v>175.4</v>
      </c>
      <c r="DQ30" s="37">
        <v>176.1</v>
      </c>
      <c r="DR30" s="37">
        <v>176.8</v>
      </c>
      <c r="DS30" s="37">
        <v>177.8</v>
      </c>
      <c r="DT30" s="37">
        <v>178.7</v>
      </c>
      <c r="DU30" s="37">
        <v>179.8</v>
      </c>
      <c r="DV30" s="37">
        <v>181.1</v>
      </c>
      <c r="DW30" s="37">
        <v>182.3</v>
      </c>
      <c r="DX30" s="37">
        <v>184.4</v>
      </c>
      <c r="DY30" s="37">
        <v>184.4</v>
      </c>
      <c r="DZ30" s="37">
        <v>185</v>
      </c>
      <c r="EA30" s="37">
        <v>185.7</v>
      </c>
    </row>
    <row r="31" spans="4:131" x14ac:dyDescent="0.35">
      <c r="D31" s="40" t="s">
        <v>24</v>
      </c>
      <c r="E31" s="37" t="s">
        <v>61</v>
      </c>
      <c r="F31" s="37" t="s">
        <v>34</v>
      </c>
      <c r="G31" s="37">
        <v>103.2</v>
      </c>
      <c r="H31" s="37">
        <v>104.2</v>
      </c>
      <c r="I31" s="37">
        <v>105.1</v>
      </c>
      <c r="J31" s="37">
        <v>104.7</v>
      </c>
      <c r="K31" s="37">
        <v>104</v>
      </c>
      <c r="L31" s="37">
        <v>105.1</v>
      </c>
      <c r="M31" s="37">
        <v>107.1</v>
      </c>
      <c r="N31" s="37">
        <v>108</v>
      </c>
      <c r="O31" s="37">
        <v>109.9</v>
      </c>
      <c r="P31" s="37">
        <v>109.5</v>
      </c>
      <c r="Q31" s="37">
        <v>109.5</v>
      </c>
      <c r="R31" s="37">
        <v>109.8</v>
      </c>
      <c r="S31" s="37">
        <v>110.7</v>
      </c>
      <c r="T31" s="37">
        <v>111.1</v>
      </c>
      <c r="U31" s="37">
        <v>111.4</v>
      </c>
      <c r="V31" s="37">
        <v>111.2</v>
      </c>
      <c r="W31" s="37">
        <v>111.3</v>
      </c>
      <c r="X31" s="37">
        <v>111.8</v>
      </c>
      <c r="Y31" s="37">
        <v>113.1</v>
      </c>
      <c r="Z31" s="37">
        <v>112.8</v>
      </c>
      <c r="AA31" s="37">
        <v>112</v>
      </c>
      <c r="AB31" s="37">
        <v>111.8</v>
      </c>
      <c r="AC31" s="37">
        <v>110.8</v>
      </c>
      <c r="AD31" s="37">
        <v>110.1</v>
      </c>
      <c r="AE31" s="37">
        <v>109.4</v>
      </c>
      <c r="AF31" s="37">
        <v>108.7</v>
      </c>
      <c r="AG31" s="37">
        <v>109.9</v>
      </c>
      <c r="AH31" s="37">
        <v>110.1</v>
      </c>
      <c r="AI31" s="37">
        <v>112</v>
      </c>
      <c r="AJ31" s="37">
        <v>112.9</v>
      </c>
      <c r="AK31" s="37">
        <v>112.7</v>
      </c>
      <c r="AL31" s="37">
        <v>111.7</v>
      </c>
      <c r="AM31" s="37">
        <v>111.3</v>
      </c>
      <c r="AN31" s="37">
        <v>111.4</v>
      </c>
      <c r="AO31" s="37">
        <v>111.5</v>
      </c>
      <c r="AP31" s="37">
        <v>111.5</v>
      </c>
      <c r="AQ31" s="37">
        <v>111.1</v>
      </c>
      <c r="AR31" s="37">
        <v>111.4</v>
      </c>
      <c r="AS31" s="37">
        <v>110.9</v>
      </c>
      <c r="AT31" s="37">
        <v>112.1</v>
      </c>
      <c r="AU31" s="37">
        <v>112.8</v>
      </c>
      <c r="AV31" s="37">
        <v>114.2</v>
      </c>
      <c r="AW31" s="37">
        <v>113.9</v>
      </c>
      <c r="AX31" s="37">
        <v>113.1</v>
      </c>
      <c r="AY31" s="37">
        <v>114.3</v>
      </c>
      <c r="AZ31" s="37">
        <v>115.2</v>
      </c>
      <c r="BA31" s="37">
        <v>115.7</v>
      </c>
      <c r="BB31" s="37">
        <v>116</v>
      </c>
      <c r="BC31" s="37">
        <v>117</v>
      </c>
      <c r="BD31" s="37">
        <v>117.4</v>
      </c>
      <c r="BE31" s="37">
        <v>117.6</v>
      </c>
      <c r="BF31" s="37">
        <v>116.6</v>
      </c>
      <c r="BG31" s="37">
        <v>116.7</v>
      </c>
      <c r="BH31" s="37">
        <v>116.5</v>
      </c>
      <c r="BI31" s="37">
        <v>116</v>
      </c>
      <c r="BJ31" s="37">
        <v>117.3</v>
      </c>
      <c r="BK31" s="37">
        <v>118.3</v>
      </c>
      <c r="BL31" s="37">
        <v>117.8</v>
      </c>
      <c r="BM31" s="37">
        <v>118.3</v>
      </c>
      <c r="BN31" s="37">
        <v>118.5</v>
      </c>
      <c r="BO31" s="37">
        <v>119.3</v>
      </c>
      <c r="BP31" s="37">
        <v>120.2</v>
      </c>
      <c r="BQ31" s="37">
        <v>121</v>
      </c>
      <c r="BR31" s="37">
        <v>121.9</v>
      </c>
      <c r="BS31" s="37">
        <v>122.9</v>
      </c>
      <c r="BT31" s="37">
        <v>123.7</v>
      </c>
      <c r="BU31" s="37">
        <v>123.6</v>
      </c>
      <c r="BV31" s="37">
        <v>124.3</v>
      </c>
      <c r="BW31" s="37">
        <v>126</v>
      </c>
      <c r="BX31" s="37">
        <v>125.5</v>
      </c>
      <c r="BY31" s="37">
        <v>125.5</v>
      </c>
      <c r="BZ31" s="37">
        <v>123.6</v>
      </c>
      <c r="CA31" s="37">
        <v>123.3</v>
      </c>
      <c r="CB31" s="37">
        <v>123.9</v>
      </c>
      <c r="CC31" s="37">
        <v>124.6</v>
      </c>
      <c r="CD31" s="37">
        <v>124.75</v>
      </c>
      <c r="CE31" s="37">
        <v>124.9</v>
      </c>
      <c r="CF31" s="37">
        <v>124.6</v>
      </c>
      <c r="CG31" s="37">
        <v>125.6</v>
      </c>
      <c r="CH31" s="37">
        <v>125.8</v>
      </c>
      <c r="CI31" s="37">
        <v>126.1</v>
      </c>
      <c r="CJ31" s="37">
        <v>126.3</v>
      </c>
      <c r="CK31" s="37">
        <v>126.6</v>
      </c>
      <c r="CL31" s="37">
        <v>129.80000000000001</v>
      </c>
      <c r="CM31" s="37">
        <v>130.9</v>
      </c>
      <c r="CN31" s="37">
        <v>130.30000000000001</v>
      </c>
      <c r="CO31" s="37">
        <v>129.9</v>
      </c>
      <c r="CP31" s="37">
        <v>131.6</v>
      </c>
      <c r="CQ31" s="37">
        <v>133.30000000000001</v>
      </c>
      <c r="CR31" s="37">
        <v>135</v>
      </c>
      <c r="CS31" s="37">
        <v>135</v>
      </c>
      <c r="CT31" s="37">
        <v>138.5</v>
      </c>
      <c r="CU31" s="37">
        <v>139.6</v>
      </c>
      <c r="CV31" s="37">
        <v>140.6</v>
      </c>
      <c r="CW31" s="37">
        <v>140.4</v>
      </c>
      <c r="CX31" s="37">
        <v>140.69999999999999</v>
      </c>
      <c r="CY31" s="37">
        <v>141.9</v>
      </c>
      <c r="CZ31" s="37">
        <v>145.1</v>
      </c>
      <c r="DA31" s="37">
        <v>146.19999999999999</v>
      </c>
      <c r="DB31" s="37">
        <v>146.6</v>
      </c>
      <c r="DC31" s="37">
        <v>148.9</v>
      </c>
      <c r="DD31" s="37">
        <v>150.69999999999999</v>
      </c>
      <c r="DE31" s="37">
        <v>153.1</v>
      </c>
      <c r="DF31" s="37">
        <v>154</v>
      </c>
      <c r="DG31" s="37">
        <v>154</v>
      </c>
      <c r="DH31" s="37">
        <v>155.69999999999999</v>
      </c>
      <c r="DI31" s="37">
        <v>154.80000000000001</v>
      </c>
      <c r="DJ31" s="37">
        <v>155.69999999999999</v>
      </c>
      <c r="DK31" s="37">
        <v>156.5</v>
      </c>
      <c r="DL31" s="37">
        <v>156.9</v>
      </c>
      <c r="DM31" s="37">
        <v>157.9</v>
      </c>
      <c r="DN31" s="37">
        <v>162.6</v>
      </c>
      <c r="DO31" s="37">
        <v>163</v>
      </c>
      <c r="DP31" s="37">
        <v>161.1</v>
      </c>
      <c r="DQ31" s="37">
        <v>161.6</v>
      </c>
      <c r="DR31" s="37">
        <v>161.9</v>
      </c>
      <c r="DS31" s="37">
        <v>162.30000000000001</v>
      </c>
      <c r="DT31" s="37">
        <v>162.9</v>
      </c>
      <c r="DU31" s="37">
        <v>163</v>
      </c>
      <c r="DV31" s="37">
        <v>163.4</v>
      </c>
      <c r="DW31" s="37">
        <v>163.6</v>
      </c>
      <c r="DX31" s="37">
        <v>164.2</v>
      </c>
      <c r="DY31" s="37">
        <v>164.2</v>
      </c>
      <c r="DZ31" s="37">
        <v>164.5</v>
      </c>
      <c r="EA31" s="37">
        <v>164.8</v>
      </c>
    </row>
    <row r="32" spans="4:131" x14ac:dyDescent="0.35">
      <c r="D32" s="40" t="s">
        <v>25</v>
      </c>
      <c r="E32" s="37" t="s">
        <v>60</v>
      </c>
      <c r="F32" s="37" t="s">
        <v>34</v>
      </c>
      <c r="G32" s="37">
        <v>103.1</v>
      </c>
      <c r="H32" s="37">
        <v>103.6</v>
      </c>
      <c r="I32" s="37">
        <v>103.7</v>
      </c>
      <c r="J32" s="37">
        <v>104.2</v>
      </c>
      <c r="K32" s="37">
        <v>104.8</v>
      </c>
      <c r="L32" s="37">
        <v>105.4</v>
      </c>
      <c r="M32" s="37">
        <v>106.1</v>
      </c>
      <c r="N32" s="37">
        <v>106.6</v>
      </c>
      <c r="O32" s="37">
        <v>107.5</v>
      </c>
      <c r="P32" s="37">
        <v>108.1</v>
      </c>
      <c r="Q32" s="37">
        <v>108.6</v>
      </c>
      <c r="R32" s="37">
        <v>109</v>
      </c>
      <c r="S32" s="37">
        <v>109.7</v>
      </c>
      <c r="T32" s="37">
        <v>110.1</v>
      </c>
      <c r="U32" s="37">
        <v>110.6</v>
      </c>
      <c r="V32" s="37">
        <v>110.9</v>
      </c>
      <c r="W32" s="37">
        <v>111.2</v>
      </c>
      <c r="X32" s="37">
        <v>111.6</v>
      </c>
      <c r="Y32" s="37">
        <v>112.1</v>
      </c>
      <c r="Z32" s="37">
        <v>112.6</v>
      </c>
      <c r="AA32" s="37">
        <v>113.1</v>
      </c>
      <c r="AB32" s="37">
        <v>113.3</v>
      </c>
      <c r="AC32" s="37">
        <v>113.7</v>
      </c>
      <c r="AD32" s="37">
        <v>113.9</v>
      </c>
      <c r="AE32" s="37">
        <v>114.3</v>
      </c>
      <c r="AF32" s="37">
        <v>114.9</v>
      </c>
      <c r="AG32" s="37">
        <v>115.4</v>
      </c>
      <c r="AH32" s="37">
        <v>115.9</v>
      </c>
      <c r="AI32" s="37">
        <v>116.3</v>
      </c>
      <c r="AJ32" s="37">
        <v>116.9</v>
      </c>
      <c r="AK32" s="37">
        <v>117.2</v>
      </c>
      <c r="AL32" s="37">
        <v>117.8</v>
      </c>
      <c r="AM32" s="37">
        <v>118.3</v>
      </c>
      <c r="AN32" s="37">
        <v>118.7</v>
      </c>
      <c r="AO32" s="37">
        <v>119.2</v>
      </c>
      <c r="AP32" s="37">
        <v>119.6</v>
      </c>
      <c r="AQ32" s="37">
        <v>119.8</v>
      </c>
      <c r="AR32" s="37">
        <v>120.3</v>
      </c>
      <c r="AS32" s="37">
        <v>120.6</v>
      </c>
      <c r="AT32" s="37">
        <v>121.1</v>
      </c>
      <c r="AU32" s="37">
        <v>121.5</v>
      </c>
      <c r="AV32" s="37">
        <v>121.7</v>
      </c>
      <c r="AW32" s="37">
        <v>122.4</v>
      </c>
      <c r="AX32" s="37">
        <v>122.7</v>
      </c>
      <c r="AY32" s="37">
        <v>122.9</v>
      </c>
      <c r="AZ32" s="37">
        <v>123.5</v>
      </c>
      <c r="BA32" s="37">
        <v>124</v>
      </c>
      <c r="BB32" s="37">
        <v>124.2</v>
      </c>
      <c r="BC32" s="37">
        <v>124.2</v>
      </c>
      <c r="BD32" s="37">
        <v>124.6</v>
      </c>
      <c r="BE32" s="37">
        <v>125</v>
      </c>
      <c r="BF32" s="37">
        <v>125.1</v>
      </c>
      <c r="BG32" s="37">
        <v>125.7</v>
      </c>
      <c r="BH32" s="37">
        <v>125.9</v>
      </c>
      <c r="BI32" s="37">
        <v>126.6</v>
      </c>
      <c r="BJ32" s="37">
        <v>127.3</v>
      </c>
      <c r="BK32" s="37">
        <v>127.9</v>
      </c>
      <c r="BL32" s="37">
        <v>128.4</v>
      </c>
      <c r="BM32" s="37">
        <v>128.9</v>
      </c>
      <c r="BN32" s="37">
        <v>129</v>
      </c>
      <c r="BO32" s="37">
        <v>129.69999999999999</v>
      </c>
      <c r="BP32" s="37">
        <v>129.9</v>
      </c>
      <c r="BQ32" s="37">
        <v>130.4</v>
      </c>
      <c r="BR32" s="37">
        <v>131.30000000000001</v>
      </c>
      <c r="BS32" s="37">
        <v>131.80000000000001</v>
      </c>
      <c r="BT32" s="37">
        <v>132.6</v>
      </c>
      <c r="BU32" s="37">
        <v>133.1</v>
      </c>
      <c r="BV32" s="37">
        <v>133.6</v>
      </c>
      <c r="BW32" s="37">
        <v>134.5</v>
      </c>
      <c r="BX32" s="37">
        <v>136.5</v>
      </c>
      <c r="BY32" s="37">
        <v>136.5</v>
      </c>
      <c r="BZ32" s="37">
        <v>136.80000000000001</v>
      </c>
      <c r="CA32" s="37">
        <v>136.69999999999999</v>
      </c>
      <c r="CB32" s="37">
        <v>137.1</v>
      </c>
      <c r="CC32" s="37">
        <v>137.69999999999999</v>
      </c>
      <c r="CD32" s="37">
        <v>138.44999999999999</v>
      </c>
      <c r="CE32" s="37">
        <v>139.19999999999999</v>
      </c>
      <c r="CF32" s="37">
        <v>139.6</v>
      </c>
      <c r="CG32" s="37">
        <v>140.5</v>
      </c>
      <c r="CH32" s="37">
        <v>140.9</v>
      </c>
      <c r="CI32" s="37">
        <v>141.30000000000001</v>
      </c>
      <c r="CJ32" s="37">
        <v>141.69999999999999</v>
      </c>
      <c r="CK32" s="37">
        <v>142.1</v>
      </c>
      <c r="CL32" s="37">
        <v>142.30000000000001</v>
      </c>
      <c r="CM32" s="37">
        <v>142.80000000000001</v>
      </c>
      <c r="CN32" s="37">
        <v>143.19999999999999</v>
      </c>
      <c r="CO32" s="37">
        <v>143.69999999999999</v>
      </c>
      <c r="CP32" s="37">
        <v>145.23333333333332</v>
      </c>
      <c r="CQ32" s="37">
        <v>146.76666666666668</v>
      </c>
      <c r="CR32" s="37">
        <v>148.30000000000001</v>
      </c>
      <c r="CS32" s="37">
        <v>148.30000000000001</v>
      </c>
      <c r="CT32" s="37">
        <v>146</v>
      </c>
      <c r="CU32" s="37">
        <v>146.6</v>
      </c>
      <c r="CV32" s="37">
        <v>146.5</v>
      </c>
      <c r="CW32" s="37">
        <v>148.4</v>
      </c>
      <c r="CX32" s="37">
        <v>148.5</v>
      </c>
      <c r="CY32" s="37">
        <v>149.6</v>
      </c>
      <c r="CZ32" s="37">
        <v>151.5</v>
      </c>
      <c r="DA32" s="37">
        <v>152.6</v>
      </c>
      <c r="DB32" s="37">
        <v>153.19999999999999</v>
      </c>
      <c r="DC32" s="37">
        <v>155.80000000000001</v>
      </c>
      <c r="DD32" s="37">
        <v>154.9</v>
      </c>
      <c r="DE32" s="37">
        <v>155.30000000000001</v>
      </c>
      <c r="DF32" s="37">
        <v>157.6</v>
      </c>
      <c r="DG32" s="37">
        <v>157.69999999999999</v>
      </c>
      <c r="DH32" s="37">
        <v>158.6</v>
      </c>
      <c r="DI32" s="37">
        <v>159.80000000000001</v>
      </c>
      <c r="DJ32" s="37">
        <v>160.6</v>
      </c>
      <c r="DK32" s="37">
        <v>161.19999999999999</v>
      </c>
      <c r="DL32" s="37">
        <v>162.1</v>
      </c>
      <c r="DM32" s="37">
        <v>163.30000000000001</v>
      </c>
      <c r="DN32" s="37">
        <v>164.4</v>
      </c>
      <c r="DO32" s="37">
        <v>165.1</v>
      </c>
      <c r="DP32" s="37">
        <v>165.8</v>
      </c>
      <c r="DQ32" s="37">
        <v>166.3</v>
      </c>
      <c r="DR32" s="37">
        <v>166.9</v>
      </c>
      <c r="DS32" s="37">
        <v>167.6</v>
      </c>
      <c r="DT32" s="37">
        <v>168.2</v>
      </c>
      <c r="DU32" s="37">
        <v>168.5</v>
      </c>
      <c r="DV32" s="37">
        <v>168.9</v>
      </c>
      <c r="DW32" s="37">
        <v>169.5</v>
      </c>
      <c r="DX32" s="37">
        <v>170.3</v>
      </c>
      <c r="DY32" s="37">
        <v>170.3</v>
      </c>
      <c r="DZ32" s="37">
        <v>170.7</v>
      </c>
      <c r="EA32" s="37">
        <v>171.2</v>
      </c>
    </row>
    <row r="33" spans="4:131" x14ac:dyDescent="0.35">
      <c r="D33" s="40" t="s">
        <v>26</v>
      </c>
      <c r="E33" s="37" t="s">
        <v>61</v>
      </c>
      <c r="F33" s="37" t="s">
        <v>34</v>
      </c>
      <c r="G33" s="37">
        <v>103.6</v>
      </c>
      <c r="H33" s="37">
        <v>103.9</v>
      </c>
      <c r="I33" s="37">
        <v>104</v>
      </c>
      <c r="J33" s="37">
        <v>105</v>
      </c>
      <c r="K33" s="37">
        <v>105.6</v>
      </c>
      <c r="L33" s="37">
        <v>107.4</v>
      </c>
      <c r="M33" s="37">
        <v>109.1</v>
      </c>
      <c r="N33" s="37">
        <v>109.9</v>
      </c>
      <c r="O33" s="37">
        <v>110.6</v>
      </c>
      <c r="P33" s="37">
        <v>110.8</v>
      </c>
      <c r="Q33" s="37">
        <v>111.2</v>
      </c>
      <c r="R33" s="37">
        <v>111.5</v>
      </c>
      <c r="S33" s="37">
        <v>111.6</v>
      </c>
      <c r="T33" s="37">
        <v>111.8</v>
      </c>
      <c r="U33" s="37">
        <v>112</v>
      </c>
      <c r="V33" s="37">
        <v>112.7</v>
      </c>
      <c r="W33" s="37">
        <v>113</v>
      </c>
      <c r="X33" s="37">
        <v>114.8</v>
      </c>
      <c r="Y33" s="37">
        <v>116.8</v>
      </c>
      <c r="Z33" s="37">
        <v>118</v>
      </c>
      <c r="AA33" s="37">
        <v>118.6</v>
      </c>
      <c r="AB33" s="37">
        <v>118.8</v>
      </c>
      <c r="AC33" s="37">
        <v>119</v>
      </c>
      <c r="AD33" s="37">
        <v>119.5</v>
      </c>
      <c r="AE33" s="37">
        <v>119.7</v>
      </c>
      <c r="AF33" s="37">
        <v>119.7</v>
      </c>
      <c r="AG33" s="37">
        <v>120.1</v>
      </c>
      <c r="AH33" s="37">
        <v>121</v>
      </c>
      <c r="AI33" s="37">
        <v>121.4</v>
      </c>
      <c r="AJ33" s="37">
        <v>123.1</v>
      </c>
      <c r="AK33" s="37">
        <v>124.4</v>
      </c>
      <c r="AL33" s="37">
        <v>125.1</v>
      </c>
      <c r="AM33" s="37">
        <v>125.7</v>
      </c>
      <c r="AN33" s="37">
        <v>125.9</v>
      </c>
      <c r="AO33" s="37">
        <v>126.3</v>
      </c>
      <c r="AP33" s="37">
        <v>126.2</v>
      </c>
      <c r="AQ33" s="37">
        <v>126.3</v>
      </c>
      <c r="AR33" s="37">
        <v>126.6</v>
      </c>
      <c r="AS33" s="37">
        <v>126.9</v>
      </c>
      <c r="AT33" s="37">
        <v>127.7</v>
      </c>
      <c r="AU33" s="37">
        <v>128.5</v>
      </c>
      <c r="AV33" s="37">
        <v>129.69999999999999</v>
      </c>
      <c r="AW33" s="37">
        <v>130.80000000000001</v>
      </c>
      <c r="AX33" s="37">
        <v>131.69999999999999</v>
      </c>
      <c r="AY33" s="37">
        <v>131.80000000000001</v>
      </c>
      <c r="AZ33" s="37">
        <v>132.4</v>
      </c>
      <c r="BA33" s="37">
        <v>132.80000000000001</v>
      </c>
      <c r="BB33" s="37">
        <v>133.1</v>
      </c>
      <c r="BC33" s="37">
        <v>133.30000000000001</v>
      </c>
      <c r="BD33" s="37">
        <v>133.4</v>
      </c>
      <c r="BE33" s="37">
        <v>133.80000000000001</v>
      </c>
      <c r="BF33" s="37">
        <v>134.5</v>
      </c>
      <c r="BG33" s="37">
        <v>134.80000000000001</v>
      </c>
      <c r="BH33" s="37">
        <v>135.4</v>
      </c>
      <c r="BI33" s="37">
        <v>136.80000000000001</v>
      </c>
      <c r="BJ33" s="37">
        <v>137.6</v>
      </c>
      <c r="BK33" s="37">
        <v>137.4</v>
      </c>
      <c r="BL33" s="37">
        <v>137.9</v>
      </c>
      <c r="BM33" s="37">
        <v>138.6</v>
      </c>
      <c r="BN33" s="37">
        <v>138.5</v>
      </c>
      <c r="BO33" s="37">
        <v>139</v>
      </c>
      <c r="BP33" s="37">
        <v>139</v>
      </c>
      <c r="BQ33" s="37">
        <v>139.80000000000001</v>
      </c>
      <c r="BR33" s="37">
        <v>141.4</v>
      </c>
      <c r="BS33" s="37">
        <v>142.1</v>
      </c>
      <c r="BT33" s="37">
        <v>142.80000000000001</v>
      </c>
      <c r="BU33" s="37">
        <v>144.69999999999999</v>
      </c>
      <c r="BV33" s="37">
        <v>146</v>
      </c>
      <c r="BW33" s="37">
        <v>146.19999999999999</v>
      </c>
      <c r="BX33" s="37">
        <v>147.80000000000001</v>
      </c>
      <c r="BY33" s="37">
        <v>147.80000000000001</v>
      </c>
      <c r="BZ33" s="37">
        <v>150.1</v>
      </c>
      <c r="CA33" s="37">
        <v>150.19999999999999</v>
      </c>
      <c r="CB33" s="37">
        <v>150.30000000000001</v>
      </c>
      <c r="CC33" s="37">
        <v>150.30000000000001</v>
      </c>
      <c r="CD33" s="37">
        <v>150.94999999999999</v>
      </c>
      <c r="CE33" s="37">
        <v>151.6</v>
      </c>
      <c r="CF33" s="37">
        <v>152.5</v>
      </c>
      <c r="CG33" s="37">
        <v>154</v>
      </c>
      <c r="CH33" s="37">
        <v>154.9</v>
      </c>
      <c r="CI33" s="37">
        <v>155.19999999999999</v>
      </c>
      <c r="CJ33" s="37">
        <v>155.4</v>
      </c>
      <c r="CK33" s="37">
        <v>155.5</v>
      </c>
      <c r="CL33" s="37">
        <v>155.69999999999999</v>
      </c>
      <c r="CM33" s="37">
        <v>156.1</v>
      </c>
      <c r="CN33" s="37">
        <v>156.19999999999999</v>
      </c>
      <c r="CO33" s="37">
        <v>156.1</v>
      </c>
      <c r="CP33" s="37">
        <v>156.19999999999999</v>
      </c>
      <c r="CQ33" s="37">
        <v>156.30000000000001</v>
      </c>
      <c r="CR33" s="37">
        <v>156.4</v>
      </c>
      <c r="CS33" s="37">
        <v>156.4</v>
      </c>
      <c r="CT33" s="37">
        <v>158.5</v>
      </c>
      <c r="CU33" s="37">
        <v>157.5</v>
      </c>
      <c r="CV33" s="37">
        <v>158.5</v>
      </c>
      <c r="CW33" s="37">
        <v>158.6</v>
      </c>
      <c r="CX33" s="37">
        <v>159.4</v>
      </c>
      <c r="CY33" s="37">
        <v>159.19999999999999</v>
      </c>
      <c r="CZ33" s="37">
        <v>159.5</v>
      </c>
      <c r="DA33" s="37">
        <v>160.19999999999999</v>
      </c>
      <c r="DB33" s="37">
        <v>160.30000000000001</v>
      </c>
      <c r="DC33" s="37">
        <v>161.19999999999999</v>
      </c>
      <c r="DD33" s="37">
        <v>161.69999999999999</v>
      </c>
      <c r="DE33" s="37">
        <v>163.19999999999999</v>
      </c>
      <c r="DF33" s="37">
        <v>163.80000000000001</v>
      </c>
      <c r="DG33" s="37">
        <v>163.69999999999999</v>
      </c>
      <c r="DH33" s="37">
        <v>163.9</v>
      </c>
      <c r="DI33" s="37">
        <v>164.3</v>
      </c>
      <c r="DJ33" s="37">
        <v>164.4</v>
      </c>
      <c r="DK33" s="37">
        <v>164.7</v>
      </c>
      <c r="DL33" s="37">
        <v>165.4</v>
      </c>
      <c r="DM33" s="37">
        <v>166</v>
      </c>
      <c r="DN33" s="37">
        <v>166.9</v>
      </c>
      <c r="DO33" s="37">
        <v>167.9</v>
      </c>
      <c r="DP33" s="37">
        <v>169</v>
      </c>
      <c r="DQ33" s="37">
        <v>171.4</v>
      </c>
      <c r="DR33" s="37">
        <v>172.3</v>
      </c>
      <c r="DS33" s="37">
        <v>173.1</v>
      </c>
      <c r="DT33" s="37">
        <v>173.4</v>
      </c>
      <c r="DU33" s="37">
        <v>173.7</v>
      </c>
      <c r="DV33" s="37">
        <v>174.1</v>
      </c>
      <c r="DW33" s="37">
        <v>174.3</v>
      </c>
      <c r="DX33" s="37">
        <v>175</v>
      </c>
      <c r="DY33" s="37">
        <v>175</v>
      </c>
      <c r="DZ33" s="37">
        <v>176.4</v>
      </c>
      <c r="EA33" s="37">
        <v>177.1</v>
      </c>
    </row>
    <row r="34" spans="4:131" x14ac:dyDescent="0.35">
      <c r="D34" s="40" t="s">
        <v>27</v>
      </c>
      <c r="E34" s="37" t="s">
        <v>60</v>
      </c>
      <c r="F34" s="37" t="s">
        <v>34</v>
      </c>
      <c r="G34" s="37">
        <v>104.5</v>
      </c>
      <c r="H34" s="37">
        <v>104.5</v>
      </c>
      <c r="I34" s="37">
        <v>104.3</v>
      </c>
      <c r="J34" s="37">
        <v>102.9</v>
      </c>
      <c r="K34" s="37">
        <v>102.3</v>
      </c>
      <c r="L34" s="37">
        <v>102.8</v>
      </c>
      <c r="M34" s="37">
        <v>102.8</v>
      </c>
      <c r="N34" s="37">
        <v>105.4</v>
      </c>
      <c r="O34" s="37">
        <v>106.8</v>
      </c>
      <c r="P34" s="37">
        <v>107.4</v>
      </c>
      <c r="Q34" s="37">
        <v>108.1</v>
      </c>
      <c r="R34" s="37">
        <v>107.9</v>
      </c>
      <c r="S34" s="37">
        <v>108.2</v>
      </c>
      <c r="T34" s="37">
        <v>108.7</v>
      </c>
      <c r="U34" s="37">
        <v>109</v>
      </c>
      <c r="V34" s="37">
        <v>109</v>
      </c>
      <c r="W34" s="37">
        <v>109.1</v>
      </c>
      <c r="X34" s="37">
        <v>108.3</v>
      </c>
      <c r="Y34" s="37">
        <v>109.2</v>
      </c>
      <c r="Z34" s="37">
        <v>109.9</v>
      </c>
      <c r="AA34" s="37">
        <v>109.5</v>
      </c>
      <c r="AB34" s="37">
        <v>109.6</v>
      </c>
      <c r="AC34" s="37">
        <v>109.1</v>
      </c>
      <c r="AD34" s="37">
        <v>109.8</v>
      </c>
      <c r="AE34" s="37">
        <v>110.7</v>
      </c>
      <c r="AF34" s="37">
        <v>111.2</v>
      </c>
      <c r="AG34" s="37">
        <v>111</v>
      </c>
      <c r="AH34" s="37">
        <v>111.7</v>
      </c>
      <c r="AI34" s="37">
        <v>112.3</v>
      </c>
      <c r="AJ34" s="37">
        <v>112.8</v>
      </c>
      <c r="AK34" s="37">
        <v>112.3</v>
      </c>
      <c r="AL34" s="37">
        <v>112.3</v>
      </c>
      <c r="AM34" s="37">
        <v>113.4</v>
      </c>
      <c r="AN34" s="37">
        <v>113.9</v>
      </c>
      <c r="AO34" s="37">
        <v>113.8</v>
      </c>
      <c r="AP34" s="37">
        <v>113.7</v>
      </c>
      <c r="AQ34" s="37">
        <v>114.5</v>
      </c>
      <c r="AR34" s="37">
        <v>116.6</v>
      </c>
      <c r="AS34" s="37">
        <v>117.3</v>
      </c>
      <c r="AT34" s="37">
        <v>118.1</v>
      </c>
      <c r="AU34" s="37">
        <v>119.2</v>
      </c>
      <c r="AV34" s="37">
        <v>119.4</v>
      </c>
      <c r="AW34" s="37">
        <v>120.5</v>
      </c>
      <c r="AX34" s="37">
        <v>121.5</v>
      </c>
      <c r="AY34" s="37">
        <v>122.1</v>
      </c>
      <c r="AZ34" s="37">
        <v>122.1</v>
      </c>
      <c r="BA34" s="37">
        <v>122.6</v>
      </c>
      <c r="BB34" s="37">
        <v>121.1</v>
      </c>
      <c r="BC34" s="37">
        <v>121.7</v>
      </c>
      <c r="BD34" s="37">
        <v>122.6</v>
      </c>
      <c r="BE34" s="37">
        <v>122.6</v>
      </c>
      <c r="BF34" s="37">
        <v>123.1</v>
      </c>
      <c r="BG34" s="37">
        <v>123</v>
      </c>
      <c r="BH34" s="37">
        <v>123.4</v>
      </c>
      <c r="BI34" s="37">
        <v>123.6</v>
      </c>
      <c r="BJ34" s="37">
        <v>124.5</v>
      </c>
      <c r="BK34" s="37">
        <v>125.7</v>
      </c>
      <c r="BL34" s="37">
        <v>126.2</v>
      </c>
      <c r="BM34" s="37">
        <v>126.8</v>
      </c>
      <c r="BN34" s="37">
        <v>126.5</v>
      </c>
      <c r="BO34" s="37">
        <v>127.3</v>
      </c>
      <c r="BP34" s="37">
        <v>127.7</v>
      </c>
      <c r="BQ34" s="37">
        <v>128.19999999999999</v>
      </c>
      <c r="BR34" s="37">
        <v>129.19999999999999</v>
      </c>
      <c r="BS34" s="37">
        <v>129.9</v>
      </c>
      <c r="BT34" s="37">
        <v>130.1</v>
      </c>
      <c r="BU34" s="37">
        <v>130.1</v>
      </c>
      <c r="BV34" s="37">
        <v>130.1</v>
      </c>
      <c r="BW34" s="37">
        <v>130.9</v>
      </c>
      <c r="BX34" s="37">
        <v>132</v>
      </c>
      <c r="BY34" s="37">
        <v>132</v>
      </c>
      <c r="BZ34" s="37">
        <v>132.19999999999999</v>
      </c>
      <c r="CA34" s="37">
        <v>132.80000000000001</v>
      </c>
      <c r="CB34" s="37">
        <v>134.1</v>
      </c>
      <c r="CC34" s="37">
        <v>133.4</v>
      </c>
      <c r="CD34" s="37">
        <v>133.4</v>
      </c>
      <c r="CE34" s="37">
        <v>133.4</v>
      </c>
      <c r="CF34" s="37">
        <v>134.30000000000001</v>
      </c>
      <c r="CG34" s="37">
        <v>135.69999999999999</v>
      </c>
      <c r="CH34" s="37">
        <v>138.4</v>
      </c>
      <c r="CI34" s="37">
        <v>139.69999999999999</v>
      </c>
      <c r="CJ34" s="37">
        <v>140</v>
      </c>
      <c r="CK34" s="37">
        <v>140.30000000000001</v>
      </c>
      <c r="CL34" s="37">
        <v>140.4</v>
      </c>
      <c r="CM34" s="37">
        <v>142.30000000000001</v>
      </c>
      <c r="CN34" s="37">
        <v>143.4</v>
      </c>
      <c r="CO34" s="37">
        <v>145.19999999999999</v>
      </c>
      <c r="CP34" s="37">
        <v>147.33333333333331</v>
      </c>
      <c r="CQ34" s="37">
        <v>149.46666666666667</v>
      </c>
      <c r="CR34" s="37">
        <v>151.6</v>
      </c>
      <c r="CS34" s="37">
        <v>151.6</v>
      </c>
      <c r="CT34" s="37">
        <v>154.30000000000001</v>
      </c>
      <c r="CU34" s="37">
        <v>158.4</v>
      </c>
      <c r="CV34" s="37">
        <v>157</v>
      </c>
      <c r="CW34" s="37">
        <v>156.9</v>
      </c>
      <c r="CX34" s="37">
        <v>157.1</v>
      </c>
      <c r="CY34" s="37">
        <v>156.80000000000001</v>
      </c>
      <c r="CZ34" s="37">
        <v>155.80000000000001</v>
      </c>
      <c r="DA34" s="37">
        <v>153.80000000000001</v>
      </c>
      <c r="DB34" s="37">
        <v>155.4</v>
      </c>
      <c r="DC34" s="37">
        <v>158.6</v>
      </c>
      <c r="DD34" s="37">
        <v>158.80000000000001</v>
      </c>
      <c r="DE34" s="37">
        <v>160.1</v>
      </c>
      <c r="DF34" s="37">
        <v>160</v>
      </c>
      <c r="DG34" s="37">
        <v>160</v>
      </c>
      <c r="DH34" s="37">
        <v>160.80000000000001</v>
      </c>
      <c r="DI34" s="37">
        <v>162.19999999999999</v>
      </c>
      <c r="DJ34" s="37">
        <v>162.6</v>
      </c>
      <c r="DK34" s="37">
        <v>163</v>
      </c>
      <c r="DL34" s="37">
        <v>164.4</v>
      </c>
      <c r="DM34" s="37">
        <v>167.2</v>
      </c>
      <c r="DN34" s="37">
        <v>168.8</v>
      </c>
      <c r="DO34" s="37">
        <v>168.4</v>
      </c>
      <c r="DP34" s="37">
        <v>169.4</v>
      </c>
      <c r="DQ34" s="37">
        <v>169.7</v>
      </c>
      <c r="DR34" s="37">
        <v>171.2</v>
      </c>
      <c r="DS34" s="37">
        <v>170.9</v>
      </c>
      <c r="DT34" s="37">
        <v>172.1</v>
      </c>
      <c r="DU34" s="37">
        <v>173.6</v>
      </c>
      <c r="DV34" s="37">
        <v>175.8</v>
      </c>
      <c r="DW34" s="37">
        <v>178.6</v>
      </c>
      <c r="DX34" s="37">
        <v>181</v>
      </c>
      <c r="DY34" s="37">
        <v>181</v>
      </c>
      <c r="DZ34" s="37">
        <v>184</v>
      </c>
      <c r="EA34" s="37">
        <v>185.2</v>
      </c>
    </row>
    <row r="35" spans="4:131" x14ac:dyDescent="0.35">
      <c r="D35" s="40" t="s">
        <v>28</v>
      </c>
      <c r="E35" s="37" t="s">
        <v>28</v>
      </c>
      <c r="F35" s="37" t="s">
        <v>34</v>
      </c>
      <c r="G35" s="37">
        <v>103.9</v>
      </c>
      <c r="H35" s="37">
        <v>104.4</v>
      </c>
      <c r="I35" s="37">
        <v>104.7</v>
      </c>
      <c r="J35" s="37">
        <v>104.8</v>
      </c>
      <c r="K35" s="37">
        <v>104.8</v>
      </c>
      <c r="L35" s="37">
        <v>105.8</v>
      </c>
      <c r="M35" s="37">
        <v>106.9</v>
      </c>
      <c r="N35" s="37">
        <v>107.9</v>
      </c>
      <c r="O35" s="37">
        <v>109</v>
      </c>
      <c r="P35" s="37">
        <v>109.2</v>
      </c>
      <c r="Q35" s="37">
        <v>109.7</v>
      </c>
      <c r="R35" s="37">
        <v>110</v>
      </c>
      <c r="S35" s="37">
        <v>110.6</v>
      </c>
      <c r="T35" s="37">
        <v>110.9</v>
      </c>
      <c r="U35" s="37">
        <v>111.3</v>
      </c>
      <c r="V35" s="37">
        <v>111.5</v>
      </c>
      <c r="W35" s="37">
        <v>111.8</v>
      </c>
      <c r="X35" s="37">
        <v>112.3</v>
      </c>
      <c r="Y35" s="37">
        <v>113.3</v>
      </c>
      <c r="Z35" s="37">
        <v>113.7</v>
      </c>
      <c r="AA35" s="37">
        <v>113.7</v>
      </c>
      <c r="AB35" s="37">
        <v>113.9</v>
      </c>
      <c r="AC35" s="37">
        <v>113.8</v>
      </c>
      <c r="AD35" s="37">
        <v>113.8</v>
      </c>
      <c r="AE35" s="37">
        <v>114</v>
      </c>
      <c r="AF35" s="37">
        <v>114.1</v>
      </c>
      <c r="AG35" s="37">
        <v>114.7</v>
      </c>
      <c r="AH35" s="37">
        <v>115.1</v>
      </c>
      <c r="AI35" s="37">
        <v>116.1</v>
      </c>
      <c r="AJ35" s="37">
        <v>117</v>
      </c>
      <c r="AK35" s="37">
        <v>117.2</v>
      </c>
      <c r="AL35" s="37">
        <v>117.2</v>
      </c>
      <c r="AM35" s="37">
        <v>117.5</v>
      </c>
      <c r="AN35" s="37">
        <v>117.9</v>
      </c>
      <c r="AO35" s="37">
        <v>118.1</v>
      </c>
      <c r="AP35" s="37">
        <v>118.3</v>
      </c>
      <c r="AQ35" s="37">
        <v>118.5</v>
      </c>
      <c r="AR35" s="37">
        <v>119.1</v>
      </c>
      <c r="AS35" s="37">
        <v>119.3</v>
      </c>
      <c r="AT35" s="37">
        <v>120</v>
      </c>
      <c r="AU35" s="37">
        <v>120.7</v>
      </c>
      <c r="AV35" s="37">
        <v>121.5</v>
      </c>
      <c r="AW35" s="37">
        <v>121.9</v>
      </c>
      <c r="AX35" s="37">
        <v>122.1</v>
      </c>
      <c r="AY35" s="37">
        <v>122.8</v>
      </c>
      <c r="AZ35" s="37">
        <v>123.4</v>
      </c>
      <c r="BA35" s="37">
        <v>123.8</v>
      </c>
      <c r="BB35" s="37">
        <v>123.9</v>
      </c>
      <c r="BC35" s="37">
        <v>124.4</v>
      </c>
      <c r="BD35" s="37">
        <v>124.8</v>
      </c>
      <c r="BE35" s="37">
        <v>125.1</v>
      </c>
      <c r="BF35" s="37">
        <v>125.1</v>
      </c>
      <c r="BG35" s="37">
        <v>125.3</v>
      </c>
      <c r="BH35" s="37">
        <v>125.5</v>
      </c>
      <c r="BI35" s="37">
        <v>125.9</v>
      </c>
      <c r="BJ35" s="37">
        <v>126.8</v>
      </c>
      <c r="BK35" s="37">
        <v>127.5</v>
      </c>
      <c r="BL35" s="37">
        <v>127.7</v>
      </c>
      <c r="BM35" s="37">
        <v>128.4</v>
      </c>
      <c r="BN35" s="37">
        <v>128.6</v>
      </c>
      <c r="BO35" s="37">
        <v>129.1</v>
      </c>
      <c r="BP35" s="37">
        <v>129.6</v>
      </c>
      <c r="BQ35" s="37">
        <v>130.30000000000001</v>
      </c>
      <c r="BR35" s="37">
        <v>131.30000000000001</v>
      </c>
      <c r="BS35" s="37">
        <v>132.1</v>
      </c>
      <c r="BT35" s="37">
        <v>132.6</v>
      </c>
      <c r="BU35" s="37">
        <v>133.19999999999999</v>
      </c>
      <c r="BV35" s="37">
        <v>133.9</v>
      </c>
      <c r="BW35" s="37">
        <v>134.69999999999999</v>
      </c>
      <c r="BX35" s="37">
        <v>136.30000000000001</v>
      </c>
      <c r="BY35" s="37">
        <v>136.30000000000001</v>
      </c>
      <c r="BZ35" s="37">
        <v>136.80000000000001</v>
      </c>
      <c r="CA35" s="37">
        <v>136.9</v>
      </c>
      <c r="CB35" s="37">
        <v>137.4</v>
      </c>
      <c r="CC35" s="37">
        <v>137.69999999999999</v>
      </c>
      <c r="CD35" s="37">
        <v>137.94999999999999</v>
      </c>
      <c r="CE35" s="37">
        <v>138.19999999999999</v>
      </c>
      <c r="CF35" s="37">
        <v>138.6</v>
      </c>
      <c r="CG35" s="37">
        <v>139.5</v>
      </c>
      <c r="CH35" s="37">
        <v>140.19999999999999</v>
      </c>
      <c r="CI35" s="37">
        <v>140.69999999999999</v>
      </c>
      <c r="CJ35" s="37">
        <v>141</v>
      </c>
      <c r="CK35" s="37">
        <v>141.30000000000001</v>
      </c>
      <c r="CL35" s="37">
        <v>142.5</v>
      </c>
      <c r="CM35" s="37">
        <v>143.4</v>
      </c>
      <c r="CN35" s="37">
        <v>143.6</v>
      </c>
      <c r="CO35" s="37">
        <v>143.80000000000001</v>
      </c>
      <c r="CP35" s="37">
        <v>144.86666666666667</v>
      </c>
      <c r="CQ35" s="37">
        <v>145.93333333333334</v>
      </c>
      <c r="CR35" s="37">
        <v>147</v>
      </c>
      <c r="CS35" s="37">
        <v>147</v>
      </c>
      <c r="CT35" s="37">
        <v>149</v>
      </c>
      <c r="CU35" s="37">
        <v>150</v>
      </c>
      <c r="CV35" s="37">
        <v>150.4</v>
      </c>
      <c r="CW35" s="37">
        <v>150.69999999999999</v>
      </c>
      <c r="CX35" s="37">
        <v>151.19999999999999</v>
      </c>
      <c r="CY35" s="37">
        <v>151.9</v>
      </c>
      <c r="CZ35" s="37">
        <v>153.4</v>
      </c>
      <c r="DA35" s="37">
        <v>153.80000000000001</v>
      </c>
      <c r="DB35" s="37">
        <v>154.4</v>
      </c>
      <c r="DC35" s="37">
        <v>156.80000000000001</v>
      </c>
      <c r="DD35" s="37">
        <v>157.6</v>
      </c>
      <c r="DE35" s="37">
        <v>159</v>
      </c>
      <c r="DF35" s="37">
        <v>160</v>
      </c>
      <c r="DG35" s="37">
        <v>160</v>
      </c>
      <c r="DH35" s="37">
        <v>161</v>
      </c>
      <c r="DI35" s="37">
        <v>161.4</v>
      </c>
      <c r="DJ35" s="37">
        <v>162</v>
      </c>
      <c r="DK35" s="37">
        <v>162.69999999999999</v>
      </c>
      <c r="DL35" s="37">
        <v>163.5</v>
      </c>
      <c r="DM35" s="37">
        <v>164.6</v>
      </c>
      <c r="DN35" s="37">
        <v>166.8</v>
      </c>
      <c r="DO35" s="37">
        <v>167.5</v>
      </c>
      <c r="DP35" s="37">
        <v>167.5</v>
      </c>
      <c r="DQ35" s="37">
        <v>168.4</v>
      </c>
      <c r="DR35" s="37">
        <v>169.1</v>
      </c>
      <c r="DS35" s="37">
        <v>169.7</v>
      </c>
      <c r="DT35" s="37">
        <v>170.5</v>
      </c>
      <c r="DU35" s="37">
        <v>171.1</v>
      </c>
      <c r="DV35" s="37">
        <v>172</v>
      </c>
      <c r="DW35" s="37">
        <v>172.8</v>
      </c>
      <c r="DX35" s="37">
        <v>174.1</v>
      </c>
      <c r="DY35" s="37">
        <v>174.1</v>
      </c>
      <c r="DZ35" s="37">
        <v>175</v>
      </c>
      <c r="EA35" s="37">
        <v>175.7</v>
      </c>
    </row>
    <row r="36" spans="4:131" x14ac:dyDescent="0.35">
      <c r="D36" s="40" t="s">
        <v>29</v>
      </c>
      <c r="E36" s="45" t="s">
        <v>64</v>
      </c>
      <c r="F36" s="37" t="s">
        <v>34</v>
      </c>
      <c r="G36" s="37">
        <v>104.6</v>
      </c>
      <c r="H36" s="37">
        <v>105.3</v>
      </c>
      <c r="I36" s="37">
        <v>105.5</v>
      </c>
      <c r="J36" s="37">
        <v>106.1</v>
      </c>
      <c r="K36" s="37">
        <v>106.9</v>
      </c>
      <c r="L36" s="37">
        <v>109.3</v>
      </c>
      <c r="M36" s="37">
        <v>111</v>
      </c>
      <c r="N36" s="37">
        <v>112.4</v>
      </c>
      <c r="O36" s="37">
        <v>113.7</v>
      </c>
      <c r="P36" s="37">
        <v>114.8</v>
      </c>
      <c r="Q36" s="37">
        <v>116.3</v>
      </c>
      <c r="R36" s="37">
        <v>114.5</v>
      </c>
      <c r="S36" s="37">
        <v>113.6</v>
      </c>
      <c r="T36" s="37">
        <v>113.6</v>
      </c>
      <c r="U36" s="37">
        <v>114.2</v>
      </c>
      <c r="V36" s="37">
        <v>115.1</v>
      </c>
      <c r="W36" s="37">
        <v>115.8</v>
      </c>
      <c r="X36" s="37">
        <v>116.7</v>
      </c>
      <c r="Y36" s="37">
        <v>119.2</v>
      </c>
      <c r="Z36" s="37">
        <v>120.3</v>
      </c>
      <c r="AA36" s="37">
        <v>120.1</v>
      </c>
      <c r="AB36" s="37">
        <v>120.1</v>
      </c>
      <c r="AC36" s="37">
        <v>120.1</v>
      </c>
      <c r="AD36" s="37">
        <v>119.4</v>
      </c>
      <c r="AE36" s="37">
        <v>119.5</v>
      </c>
      <c r="AF36" s="37">
        <v>119.7</v>
      </c>
      <c r="AG36" s="37">
        <v>120.2</v>
      </c>
      <c r="AH36" s="37">
        <v>120.7</v>
      </c>
      <c r="AI36" s="37">
        <v>121.6</v>
      </c>
      <c r="AJ36" s="37">
        <v>123</v>
      </c>
      <c r="AK36" s="37">
        <v>123.6</v>
      </c>
      <c r="AL36" s="37">
        <v>124.8</v>
      </c>
      <c r="AM36" s="37">
        <v>125.4</v>
      </c>
      <c r="AN36" s="37">
        <v>126.1</v>
      </c>
      <c r="AO36" s="37">
        <v>126.6</v>
      </c>
      <c r="AP36" s="37">
        <v>126.1</v>
      </c>
      <c r="AQ36" s="37">
        <v>126.3</v>
      </c>
      <c r="AR36" s="37">
        <v>126</v>
      </c>
      <c r="AS36" s="37">
        <v>126</v>
      </c>
      <c r="AT36" s="37">
        <v>127.3</v>
      </c>
      <c r="AU36" s="37">
        <v>128.6</v>
      </c>
      <c r="AV36" s="37">
        <v>130.1</v>
      </c>
      <c r="AW36" s="37">
        <v>131.1</v>
      </c>
      <c r="AX36" s="37">
        <v>131.1</v>
      </c>
      <c r="AY36" s="37">
        <v>130.9</v>
      </c>
      <c r="AZ36" s="37">
        <v>131.4</v>
      </c>
      <c r="BA36" s="37">
        <v>131.19999999999999</v>
      </c>
      <c r="BB36" s="37">
        <v>130.4</v>
      </c>
      <c r="BC36" s="37">
        <v>130.30000000000001</v>
      </c>
      <c r="BD36" s="37">
        <v>130.6</v>
      </c>
      <c r="BE36" s="37">
        <v>130.9</v>
      </c>
      <c r="BF36" s="37">
        <v>131.1</v>
      </c>
      <c r="BG36" s="37">
        <v>131.4</v>
      </c>
      <c r="BH36" s="37">
        <v>132</v>
      </c>
      <c r="BI36" s="37">
        <v>134.19999999999999</v>
      </c>
      <c r="BJ36" s="37">
        <v>135.4</v>
      </c>
      <c r="BK36" s="37">
        <v>135.19999999999999</v>
      </c>
      <c r="BL36" s="37">
        <v>136.1</v>
      </c>
      <c r="BM36" s="37">
        <v>137.6</v>
      </c>
      <c r="BN36" s="37">
        <v>137.19999999999999</v>
      </c>
      <c r="BO36" s="37">
        <v>136.9</v>
      </c>
      <c r="BP36" s="37">
        <v>136.4</v>
      </c>
      <c r="BQ36" s="37">
        <v>136.5</v>
      </c>
      <c r="BR36" s="37">
        <v>137.1</v>
      </c>
      <c r="BS36" s="37">
        <v>137.80000000000001</v>
      </c>
      <c r="BT36" s="37">
        <v>138.5</v>
      </c>
      <c r="BU36" s="37">
        <v>139.80000000000001</v>
      </c>
      <c r="BV36" s="37">
        <v>140.4</v>
      </c>
      <c r="BW36" s="37">
        <v>140.19999999999999</v>
      </c>
      <c r="BX36" s="37">
        <v>140.80000000000001</v>
      </c>
      <c r="BY36" s="37">
        <v>140.80000000000001</v>
      </c>
      <c r="BZ36" s="37">
        <v>140.1</v>
      </c>
      <c r="CA36" s="37">
        <v>139.6</v>
      </c>
      <c r="CB36" s="37">
        <v>139.9</v>
      </c>
      <c r="CC36" s="37">
        <v>140.4</v>
      </c>
      <c r="CD36" s="37">
        <v>141.19999999999999</v>
      </c>
      <c r="CE36" s="37">
        <v>142</v>
      </c>
      <c r="CF36" s="37">
        <v>142.9</v>
      </c>
      <c r="CG36" s="37">
        <v>144.19999999999999</v>
      </c>
      <c r="CH36" s="37">
        <v>145</v>
      </c>
      <c r="CI36" s="37">
        <v>145.80000000000001</v>
      </c>
      <c r="CJ36" s="37">
        <v>147.19999999999999</v>
      </c>
      <c r="CK36" s="37">
        <v>148.6</v>
      </c>
      <c r="CL36" s="37">
        <v>150.4</v>
      </c>
      <c r="CM36" s="37">
        <v>150.19999999999999</v>
      </c>
      <c r="CN36" s="37">
        <v>149.1</v>
      </c>
      <c r="CO36" s="37">
        <v>148.6</v>
      </c>
      <c r="CP36" s="37">
        <v>149.66666666666666</v>
      </c>
      <c r="CQ36" s="37">
        <v>150.73333333333335</v>
      </c>
      <c r="CR36" s="37">
        <v>151.80000000000001</v>
      </c>
      <c r="CS36" s="37">
        <v>151.80000000000001</v>
      </c>
      <c r="CT36" s="37">
        <v>153.9</v>
      </c>
      <c r="CU36" s="37">
        <v>154.69999999999999</v>
      </c>
      <c r="CV36" s="37">
        <v>156.4</v>
      </c>
      <c r="CW36" s="37">
        <v>158.4</v>
      </c>
      <c r="CX36" s="37">
        <v>158.9</v>
      </c>
      <c r="CY36" s="37">
        <v>157.30000000000001</v>
      </c>
      <c r="CZ36" s="37">
        <v>156.6</v>
      </c>
      <c r="DA36" s="37">
        <v>156.80000000000001</v>
      </c>
      <c r="DB36" s="37">
        <v>157.80000000000001</v>
      </c>
      <c r="DC36" s="37">
        <v>160.4</v>
      </c>
      <c r="DD36" s="37">
        <v>161.30000000000001</v>
      </c>
      <c r="DE36" s="37">
        <v>162.5</v>
      </c>
      <c r="DF36" s="37">
        <v>163.19999999999999</v>
      </c>
      <c r="DG36" s="37">
        <v>163.19999999999999</v>
      </c>
      <c r="DH36" s="37">
        <v>165.5</v>
      </c>
      <c r="DI36" s="37">
        <v>166.7</v>
      </c>
      <c r="DJ36" s="37">
        <v>166.2</v>
      </c>
      <c r="DK36" s="37">
        <v>165.7</v>
      </c>
      <c r="DL36" s="37">
        <v>166.1</v>
      </c>
      <c r="DM36" s="37">
        <v>167.7</v>
      </c>
      <c r="DN36" s="37">
        <v>170.1</v>
      </c>
      <c r="DO36" s="37">
        <v>171.7</v>
      </c>
      <c r="DP36" s="37">
        <v>172.6</v>
      </c>
      <c r="DQ36" s="37">
        <v>173.4</v>
      </c>
      <c r="DR36" s="37">
        <v>174.3</v>
      </c>
      <c r="DS36" s="37">
        <v>175.3</v>
      </c>
      <c r="DT36" s="37">
        <v>176.7</v>
      </c>
      <c r="DU36" s="37">
        <v>176.5</v>
      </c>
      <c r="DV36" s="37">
        <v>175.7</v>
      </c>
      <c r="DW36" s="37">
        <v>176.5</v>
      </c>
      <c r="DX36" s="37">
        <v>177.2</v>
      </c>
      <c r="DY36" s="37">
        <v>177.2</v>
      </c>
      <c r="DZ36" s="37">
        <v>178.1</v>
      </c>
      <c r="EA36" s="37">
        <v>179.1</v>
      </c>
    </row>
    <row r="37" spans="4:131" x14ac:dyDescent="0.35">
      <c r="D37" s="49" t="s">
        <v>3</v>
      </c>
      <c r="E37" s="36" t="s">
        <v>59</v>
      </c>
      <c r="F37" s="36" t="s">
        <v>101</v>
      </c>
      <c r="G37" s="36">
        <v>107.5</v>
      </c>
      <c r="H37" s="36">
        <v>109.2</v>
      </c>
      <c r="I37" s="36">
        <v>110.2</v>
      </c>
      <c r="J37" s="36">
        <v>110.2</v>
      </c>
      <c r="K37" s="36">
        <v>110.9</v>
      </c>
      <c r="L37" s="36">
        <v>112.3</v>
      </c>
      <c r="M37" s="36">
        <v>113.4</v>
      </c>
      <c r="N37" s="36">
        <v>114.3</v>
      </c>
      <c r="O37" s="36">
        <v>115.4</v>
      </c>
      <c r="P37" s="36">
        <v>116.3</v>
      </c>
      <c r="Q37" s="36">
        <v>117.3</v>
      </c>
      <c r="R37" s="36">
        <v>118.4</v>
      </c>
      <c r="S37" s="36">
        <v>118.9</v>
      </c>
      <c r="T37" s="36">
        <v>119.4</v>
      </c>
      <c r="U37" s="36">
        <v>120.1</v>
      </c>
      <c r="V37" s="36">
        <v>120.2</v>
      </c>
      <c r="W37" s="36">
        <v>120.3</v>
      </c>
      <c r="X37" s="36">
        <v>120.7</v>
      </c>
      <c r="Y37" s="36">
        <v>121.7</v>
      </c>
      <c r="Z37" s="36">
        <v>121.8</v>
      </c>
      <c r="AA37" s="36">
        <v>122.3</v>
      </c>
      <c r="AB37" s="36">
        <v>122.6</v>
      </c>
      <c r="AC37" s="36">
        <v>122.7</v>
      </c>
      <c r="AD37" s="36">
        <v>122.4</v>
      </c>
      <c r="AE37" s="36">
        <v>123.1</v>
      </c>
      <c r="AF37" s="36">
        <v>123.4</v>
      </c>
      <c r="AG37" s="36">
        <v>123.3</v>
      </c>
      <c r="AH37" s="36">
        <v>123.3</v>
      </c>
      <c r="AI37" s="36">
        <v>123.5</v>
      </c>
      <c r="AJ37" s="36">
        <v>124.1</v>
      </c>
      <c r="AK37" s="36">
        <v>124</v>
      </c>
      <c r="AL37" s="36">
        <v>124.7</v>
      </c>
      <c r="AM37" s="36">
        <v>125.1</v>
      </c>
      <c r="AN37" s="36">
        <v>125.6</v>
      </c>
      <c r="AO37" s="36">
        <v>126.1</v>
      </c>
      <c r="AP37" s="36">
        <v>126.3</v>
      </c>
      <c r="AQ37" s="36">
        <v>126.8</v>
      </c>
      <c r="AR37" s="36">
        <v>127.1</v>
      </c>
      <c r="AS37" s="36">
        <v>127.3</v>
      </c>
      <c r="AT37" s="36">
        <v>127.4</v>
      </c>
      <c r="AU37" s="36">
        <v>127.6</v>
      </c>
      <c r="AV37" s="36">
        <v>128.6</v>
      </c>
      <c r="AW37" s="36">
        <v>129.30000000000001</v>
      </c>
      <c r="AX37" s="36">
        <v>130.1</v>
      </c>
      <c r="AY37" s="36">
        <v>130.80000000000001</v>
      </c>
      <c r="AZ37" s="36">
        <v>131.30000000000001</v>
      </c>
      <c r="BA37" s="36">
        <v>132</v>
      </c>
      <c r="BB37" s="36">
        <v>132.6</v>
      </c>
      <c r="BC37" s="36">
        <v>133.1</v>
      </c>
      <c r="BD37" s="36">
        <v>133.30000000000001</v>
      </c>
      <c r="BE37" s="36">
        <v>133.6</v>
      </c>
      <c r="BF37" s="36">
        <v>133.19999999999999</v>
      </c>
      <c r="BG37" s="36">
        <v>133.1</v>
      </c>
      <c r="BH37" s="36">
        <v>133.5</v>
      </c>
      <c r="BI37" s="36">
        <v>134</v>
      </c>
      <c r="BJ37" s="36">
        <v>134.80000000000001</v>
      </c>
      <c r="BK37" s="36">
        <v>135.19999999999999</v>
      </c>
      <c r="BL37" s="36">
        <v>135.9</v>
      </c>
      <c r="BM37" s="36">
        <v>136.30000000000001</v>
      </c>
      <c r="BN37" s="36">
        <v>136.4</v>
      </c>
      <c r="BO37" s="36">
        <v>136.6</v>
      </c>
      <c r="BP37" s="36">
        <v>136.4</v>
      </c>
      <c r="BQ37" s="36">
        <v>136.80000000000001</v>
      </c>
      <c r="BR37" s="36">
        <v>137.1</v>
      </c>
      <c r="BS37" s="36">
        <v>137.4</v>
      </c>
      <c r="BT37" s="36">
        <v>137.6</v>
      </c>
      <c r="BU37" s="36">
        <v>138.4</v>
      </c>
      <c r="BV37" s="36">
        <v>139.19999999999999</v>
      </c>
      <c r="BW37" s="36">
        <v>139.4</v>
      </c>
      <c r="BX37" s="36">
        <v>139.30000000000001</v>
      </c>
      <c r="BY37" s="36">
        <v>137.1</v>
      </c>
      <c r="BZ37" s="36">
        <v>137.1</v>
      </c>
      <c r="CA37" s="36">
        <v>136.6</v>
      </c>
      <c r="CB37" s="36">
        <v>136.80000000000001</v>
      </c>
      <c r="CC37" s="36">
        <v>136.9</v>
      </c>
      <c r="CD37" s="36">
        <v>137.15</v>
      </c>
      <c r="CE37" s="36">
        <v>137.4</v>
      </c>
      <c r="CF37" s="36">
        <v>137.80000000000001</v>
      </c>
      <c r="CG37" s="36">
        <v>138.4</v>
      </c>
      <c r="CH37" s="36">
        <v>139.19999999999999</v>
      </c>
      <c r="CI37" s="36">
        <v>140.1</v>
      </c>
      <c r="CJ37" s="36">
        <v>141</v>
      </c>
      <c r="CK37" s="36">
        <v>141.80000000000001</v>
      </c>
      <c r="CL37" s="36">
        <v>142.80000000000001</v>
      </c>
      <c r="CM37" s="36">
        <v>143.69999999999999</v>
      </c>
      <c r="CN37" s="36">
        <v>144.19999999999999</v>
      </c>
      <c r="CO37" s="36">
        <v>144.4</v>
      </c>
      <c r="CP37" s="36">
        <v>147.19999999999999</v>
      </c>
      <c r="CQ37" s="36">
        <v>147.69999999999999</v>
      </c>
      <c r="CR37" s="36">
        <v>148.19999999999999</v>
      </c>
      <c r="CS37" s="36">
        <v>148.19999999999999</v>
      </c>
      <c r="CT37" s="36">
        <v>147.6</v>
      </c>
      <c r="CU37" s="36">
        <v>146.9</v>
      </c>
      <c r="CV37" s="36">
        <v>146</v>
      </c>
      <c r="CW37" s="36">
        <v>145.4</v>
      </c>
      <c r="CX37" s="36">
        <v>144.6</v>
      </c>
      <c r="CY37" s="36">
        <v>143.4</v>
      </c>
      <c r="CZ37" s="36">
        <v>142.80000000000001</v>
      </c>
      <c r="DA37" s="36">
        <v>142.5</v>
      </c>
      <c r="DB37" s="36">
        <v>142.69999999999999</v>
      </c>
      <c r="DC37" s="36">
        <v>145.1</v>
      </c>
      <c r="DD37" s="36">
        <v>145.6</v>
      </c>
      <c r="DE37" s="36">
        <v>145.1</v>
      </c>
      <c r="DF37" s="36">
        <v>144.9</v>
      </c>
      <c r="DG37" s="36">
        <v>145.4</v>
      </c>
      <c r="DH37" s="36">
        <v>146.1</v>
      </c>
      <c r="DI37" s="36">
        <v>146.9</v>
      </c>
      <c r="DJ37" s="36">
        <v>147.4</v>
      </c>
      <c r="DK37" s="36">
        <v>148.30000000000001</v>
      </c>
      <c r="DL37" s="36">
        <v>148.80000000000001</v>
      </c>
      <c r="DM37" s="36">
        <v>150.19999999999999</v>
      </c>
      <c r="DN37" s="36">
        <v>151.80000000000001</v>
      </c>
      <c r="DO37" s="36">
        <v>152.9</v>
      </c>
      <c r="DP37" s="36">
        <v>153.80000000000001</v>
      </c>
      <c r="DQ37" s="36">
        <v>155.19999999999999</v>
      </c>
      <c r="DR37" s="36">
        <v>159.5</v>
      </c>
      <c r="DS37" s="36">
        <v>162.9</v>
      </c>
      <c r="DT37" s="36">
        <v>164.7</v>
      </c>
      <c r="DU37" s="36">
        <v>166.9</v>
      </c>
      <c r="DV37" s="36">
        <v>168.8</v>
      </c>
      <c r="DW37" s="36">
        <v>174</v>
      </c>
      <c r="DX37" s="36">
        <v>174.2</v>
      </c>
      <c r="DY37" s="36">
        <v>174.3</v>
      </c>
      <c r="DZ37" s="36">
        <v>173.3</v>
      </c>
      <c r="EA37" s="36">
        <v>173.2</v>
      </c>
    </row>
    <row r="38" spans="4:131" x14ac:dyDescent="0.35">
      <c r="D38" s="49" t="s">
        <v>4</v>
      </c>
      <c r="E38" s="36" t="s">
        <v>59</v>
      </c>
      <c r="F38" s="36" t="s">
        <v>101</v>
      </c>
      <c r="G38" s="36">
        <v>106.3</v>
      </c>
      <c r="H38" s="36">
        <v>108.7</v>
      </c>
      <c r="I38" s="36">
        <v>108.8</v>
      </c>
      <c r="J38" s="36">
        <v>109.5</v>
      </c>
      <c r="K38" s="36">
        <v>109.8</v>
      </c>
      <c r="L38" s="36">
        <v>112.1</v>
      </c>
      <c r="M38" s="36">
        <v>114.9</v>
      </c>
      <c r="N38" s="36">
        <v>115.4</v>
      </c>
      <c r="O38" s="36">
        <v>115.7</v>
      </c>
      <c r="P38" s="36">
        <v>115.4</v>
      </c>
      <c r="Q38" s="36">
        <v>114.9</v>
      </c>
      <c r="R38" s="36">
        <v>115.9</v>
      </c>
      <c r="S38" s="36">
        <v>117.1</v>
      </c>
      <c r="T38" s="36">
        <v>117.7</v>
      </c>
      <c r="U38" s="36">
        <v>118.1</v>
      </c>
      <c r="V38" s="36">
        <v>118.9</v>
      </c>
      <c r="W38" s="36">
        <v>120.2</v>
      </c>
      <c r="X38" s="36">
        <v>121.6</v>
      </c>
      <c r="Y38" s="36">
        <v>122.5</v>
      </c>
      <c r="Z38" s="36">
        <v>122.8</v>
      </c>
      <c r="AA38" s="36">
        <v>122.4</v>
      </c>
      <c r="AB38" s="36">
        <v>122.5</v>
      </c>
      <c r="AC38" s="36">
        <v>122.6</v>
      </c>
      <c r="AD38" s="36">
        <v>122.4</v>
      </c>
      <c r="AE38" s="36">
        <v>123.1</v>
      </c>
      <c r="AF38" s="36">
        <v>124.4</v>
      </c>
      <c r="AG38" s="36">
        <v>124.7</v>
      </c>
      <c r="AH38" s="36">
        <v>125.5</v>
      </c>
      <c r="AI38" s="36">
        <v>127.1</v>
      </c>
      <c r="AJ38" s="36">
        <v>130.4</v>
      </c>
      <c r="AK38" s="36">
        <v>131.5</v>
      </c>
      <c r="AL38" s="36">
        <v>131.30000000000001</v>
      </c>
      <c r="AM38" s="36">
        <v>131.1</v>
      </c>
      <c r="AN38" s="36">
        <v>130.4</v>
      </c>
      <c r="AO38" s="36">
        <v>130.6</v>
      </c>
      <c r="AP38" s="36">
        <v>131.30000000000001</v>
      </c>
      <c r="AQ38" s="36">
        <v>133.19999999999999</v>
      </c>
      <c r="AR38" s="36">
        <v>133.69999999999999</v>
      </c>
      <c r="AS38" s="36">
        <v>134.4</v>
      </c>
      <c r="AT38" s="36">
        <v>135.4</v>
      </c>
      <c r="AU38" s="36">
        <v>137.5</v>
      </c>
      <c r="AV38" s="36">
        <v>138.6</v>
      </c>
      <c r="AW38" s="36">
        <v>139.5</v>
      </c>
      <c r="AX38" s="36">
        <v>138.80000000000001</v>
      </c>
      <c r="AY38" s="36">
        <v>138.19999999999999</v>
      </c>
      <c r="AZ38" s="36">
        <v>137.6</v>
      </c>
      <c r="BA38" s="36">
        <v>137.4</v>
      </c>
      <c r="BB38" s="36">
        <v>137.30000000000001</v>
      </c>
      <c r="BC38" s="36">
        <v>137.80000000000001</v>
      </c>
      <c r="BD38" s="36">
        <v>138.30000000000001</v>
      </c>
      <c r="BE38" s="36">
        <v>138.80000000000001</v>
      </c>
      <c r="BF38" s="36">
        <v>138.69999999999999</v>
      </c>
      <c r="BG38" s="36">
        <v>140.30000000000001</v>
      </c>
      <c r="BH38" s="36">
        <v>143.69999999999999</v>
      </c>
      <c r="BI38" s="36">
        <v>144.19999999999999</v>
      </c>
      <c r="BJ38" s="36">
        <v>143.1</v>
      </c>
      <c r="BK38" s="36">
        <v>142</v>
      </c>
      <c r="BL38" s="36">
        <v>141.9</v>
      </c>
      <c r="BM38" s="36">
        <v>142.5</v>
      </c>
      <c r="BN38" s="36">
        <v>143.69999999999999</v>
      </c>
      <c r="BO38" s="36">
        <v>144.4</v>
      </c>
      <c r="BP38" s="36">
        <v>143.69999999999999</v>
      </c>
      <c r="BQ38" s="36">
        <v>143.80000000000001</v>
      </c>
      <c r="BR38" s="36">
        <v>144.5</v>
      </c>
      <c r="BS38" s="36">
        <v>145.69999999999999</v>
      </c>
      <c r="BT38" s="36">
        <v>148.1</v>
      </c>
      <c r="BU38" s="36">
        <v>149.30000000000001</v>
      </c>
      <c r="BV38" s="36">
        <v>148.80000000000001</v>
      </c>
      <c r="BW38" s="36">
        <v>147.19999999999999</v>
      </c>
      <c r="BX38" s="36">
        <v>147.6</v>
      </c>
      <c r="BY38" s="36">
        <v>150.80000000000001</v>
      </c>
      <c r="BZ38" s="36">
        <v>151.9</v>
      </c>
      <c r="CA38" s="36">
        <v>152.5</v>
      </c>
      <c r="CB38" s="36">
        <v>153</v>
      </c>
      <c r="CC38" s="36">
        <v>154.1</v>
      </c>
      <c r="CD38" s="36">
        <v>156.80000000000001</v>
      </c>
      <c r="CE38" s="36">
        <v>159.5</v>
      </c>
      <c r="CF38" s="36">
        <v>163.5</v>
      </c>
      <c r="CG38" s="36">
        <v>164</v>
      </c>
      <c r="CH38" s="36">
        <v>161.9</v>
      </c>
      <c r="CI38" s="36">
        <v>161.9</v>
      </c>
      <c r="CJ38" s="36">
        <v>161.6</v>
      </c>
      <c r="CK38" s="36">
        <v>163.69999999999999</v>
      </c>
      <c r="CL38" s="36">
        <v>165.3</v>
      </c>
      <c r="CM38" s="36">
        <v>167.3</v>
      </c>
      <c r="CN38" s="36">
        <v>167.5</v>
      </c>
      <c r="CO38" s="36">
        <v>166.8</v>
      </c>
      <c r="CP38" s="36">
        <v>174.63333333333335</v>
      </c>
      <c r="CQ38" s="36">
        <v>182.46666666666667</v>
      </c>
      <c r="CR38" s="36">
        <v>190.3</v>
      </c>
      <c r="CS38" s="36">
        <v>190.3</v>
      </c>
      <c r="CT38" s="36">
        <v>187.2</v>
      </c>
      <c r="CU38" s="36">
        <v>183.9</v>
      </c>
      <c r="CV38" s="36">
        <v>186.3</v>
      </c>
      <c r="CW38" s="36">
        <v>188.6</v>
      </c>
      <c r="CX38" s="36">
        <v>188.5</v>
      </c>
      <c r="CY38" s="36">
        <v>187.5</v>
      </c>
      <c r="CZ38" s="36">
        <v>184</v>
      </c>
      <c r="DA38" s="36">
        <v>189.4</v>
      </c>
      <c r="DB38" s="36">
        <v>195.5</v>
      </c>
      <c r="DC38" s="36">
        <v>198.5</v>
      </c>
      <c r="DD38" s="36">
        <v>200.1</v>
      </c>
      <c r="DE38" s="36">
        <v>204.5</v>
      </c>
      <c r="DF38" s="36">
        <v>202.3</v>
      </c>
      <c r="DG38" s="36">
        <v>202.1</v>
      </c>
      <c r="DH38" s="36">
        <v>202.5</v>
      </c>
      <c r="DI38" s="36">
        <v>199.8</v>
      </c>
      <c r="DJ38" s="36">
        <v>197</v>
      </c>
      <c r="DK38" s="36">
        <v>196.9</v>
      </c>
      <c r="DL38" s="36">
        <v>198.1</v>
      </c>
      <c r="DM38" s="36">
        <v>208</v>
      </c>
      <c r="DN38" s="36">
        <v>209.7</v>
      </c>
      <c r="DO38" s="36">
        <v>214.7</v>
      </c>
      <c r="DP38" s="36">
        <v>217.2</v>
      </c>
      <c r="DQ38" s="36">
        <v>210.8</v>
      </c>
      <c r="DR38" s="36">
        <v>204.1</v>
      </c>
      <c r="DS38" s="36">
        <v>206.7</v>
      </c>
      <c r="DT38" s="36">
        <v>208.8</v>
      </c>
      <c r="DU38" s="36">
        <v>207.2</v>
      </c>
      <c r="DV38" s="36">
        <v>206.9</v>
      </c>
      <c r="DW38" s="36">
        <v>208.3</v>
      </c>
      <c r="DX38" s="36">
        <v>205.2</v>
      </c>
      <c r="DY38" s="36">
        <v>205.2</v>
      </c>
      <c r="DZ38" s="36">
        <v>206.9</v>
      </c>
      <c r="EA38" s="36">
        <v>211.5</v>
      </c>
    </row>
    <row r="39" spans="4:131" x14ac:dyDescent="0.35">
      <c r="D39" s="49" t="s">
        <v>5</v>
      </c>
      <c r="E39" s="36" t="s">
        <v>59</v>
      </c>
      <c r="F39" s="36" t="s">
        <v>101</v>
      </c>
      <c r="G39" s="36">
        <v>108.1</v>
      </c>
      <c r="H39" s="36">
        <v>110.2</v>
      </c>
      <c r="I39" s="36">
        <v>109.9</v>
      </c>
      <c r="J39" s="36">
        <v>106.9</v>
      </c>
      <c r="K39" s="36">
        <v>105.9</v>
      </c>
      <c r="L39" s="36">
        <v>108.1</v>
      </c>
      <c r="M39" s="36">
        <v>110.5</v>
      </c>
      <c r="N39" s="36">
        <v>111.1</v>
      </c>
      <c r="O39" s="36">
        <v>111.7</v>
      </c>
      <c r="P39" s="36">
        <v>112.6</v>
      </c>
      <c r="Q39" s="36">
        <v>116.2</v>
      </c>
      <c r="R39" s="36">
        <v>120.4</v>
      </c>
      <c r="S39" s="36">
        <v>120.5</v>
      </c>
      <c r="T39" s="36">
        <v>121.2</v>
      </c>
      <c r="U39" s="36">
        <v>120.7</v>
      </c>
      <c r="V39" s="36">
        <v>118.1</v>
      </c>
      <c r="W39" s="36">
        <v>116.9</v>
      </c>
      <c r="X39" s="36">
        <v>116.1</v>
      </c>
      <c r="Y39" s="36">
        <v>117.7</v>
      </c>
      <c r="Z39" s="36">
        <v>117.8</v>
      </c>
      <c r="AA39" s="36">
        <v>117.8</v>
      </c>
      <c r="AB39" s="36">
        <v>118.3</v>
      </c>
      <c r="AC39" s="36">
        <v>119.9</v>
      </c>
      <c r="AD39" s="36">
        <v>121.8</v>
      </c>
      <c r="AE39" s="36">
        <v>122.1</v>
      </c>
      <c r="AF39" s="36">
        <v>122.1</v>
      </c>
      <c r="AG39" s="36">
        <v>118.9</v>
      </c>
      <c r="AH39" s="36">
        <v>117.2</v>
      </c>
      <c r="AI39" s="36">
        <v>117.3</v>
      </c>
      <c r="AJ39" s="36">
        <v>122.1</v>
      </c>
      <c r="AK39" s="36">
        <v>122</v>
      </c>
      <c r="AL39" s="36">
        <v>121.3</v>
      </c>
      <c r="AM39" s="36">
        <v>120.7</v>
      </c>
      <c r="AN39" s="36">
        <v>120.8</v>
      </c>
      <c r="AO39" s="36">
        <v>121.7</v>
      </c>
      <c r="AP39" s="36">
        <v>123.3</v>
      </c>
      <c r="AQ39" s="36">
        <v>126.5</v>
      </c>
      <c r="AR39" s="36">
        <v>127.7</v>
      </c>
      <c r="AS39" s="36">
        <v>125.1</v>
      </c>
      <c r="AT39" s="36">
        <v>123.4</v>
      </c>
      <c r="AU39" s="36">
        <v>124.4</v>
      </c>
      <c r="AV39" s="36">
        <v>126.6</v>
      </c>
      <c r="AW39" s="36">
        <v>129.6</v>
      </c>
      <c r="AX39" s="36">
        <v>130.30000000000001</v>
      </c>
      <c r="AY39" s="36">
        <v>130.5</v>
      </c>
      <c r="AZ39" s="36">
        <v>130.1</v>
      </c>
      <c r="BA39" s="36">
        <v>130.6</v>
      </c>
      <c r="BB39" s="36">
        <v>131.6</v>
      </c>
      <c r="BC39" s="36">
        <v>131.9</v>
      </c>
      <c r="BD39" s="36">
        <v>129.30000000000001</v>
      </c>
      <c r="BE39" s="36">
        <v>128.80000000000001</v>
      </c>
      <c r="BF39" s="36">
        <v>127.1</v>
      </c>
      <c r="BG39" s="36">
        <v>126.8</v>
      </c>
      <c r="BH39" s="36">
        <v>128</v>
      </c>
      <c r="BI39" s="36">
        <v>129.80000000000001</v>
      </c>
      <c r="BJ39" s="36">
        <v>130</v>
      </c>
      <c r="BK39" s="36">
        <v>130.5</v>
      </c>
      <c r="BL39" s="36">
        <v>131</v>
      </c>
      <c r="BM39" s="36">
        <v>140.5</v>
      </c>
      <c r="BN39" s="36">
        <v>144.80000000000001</v>
      </c>
      <c r="BO39" s="36">
        <v>143.80000000000001</v>
      </c>
      <c r="BP39" s="36">
        <v>140.6</v>
      </c>
      <c r="BQ39" s="36">
        <v>140</v>
      </c>
      <c r="BR39" s="36">
        <v>135.9</v>
      </c>
      <c r="BS39" s="36">
        <v>135.5</v>
      </c>
      <c r="BT39" s="36">
        <v>136.69999999999999</v>
      </c>
      <c r="BU39" s="36">
        <v>139.30000000000001</v>
      </c>
      <c r="BV39" s="36">
        <v>139.1</v>
      </c>
      <c r="BW39" s="36">
        <v>136.6</v>
      </c>
      <c r="BX39" s="36">
        <v>134.6</v>
      </c>
      <c r="BY39" s="36">
        <v>136.69999999999999</v>
      </c>
      <c r="BZ39" s="36">
        <v>137.4</v>
      </c>
      <c r="CA39" s="36">
        <v>138.19999999999999</v>
      </c>
      <c r="CB39" s="36">
        <v>139.1</v>
      </c>
      <c r="CC39" s="36">
        <v>138.69999999999999</v>
      </c>
      <c r="CD39" s="36">
        <v>136.6</v>
      </c>
      <c r="CE39" s="36">
        <v>134.5</v>
      </c>
      <c r="CF39" s="36">
        <v>136.19999999999999</v>
      </c>
      <c r="CG39" s="36">
        <v>138.4</v>
      </c>
      <c r="CH39" s="36">
        <v>137.1</v>
      </c>
      <c r="CI39" s="36">
        <v>138.30000000000001</v>
      </c>
      <c r="CJ39" s="36">
        <v>141.19999999999999</v>
      </c>
      <c r="CK39" s="36">
        <v>143.80000000000001</v>
      </c>
      <c r="CL39" s="36">
        <v>149.5</v>
      </c>
      <c r="CM39" s="36">
        <v>153.5</v>
      </c>
      <c r="CN39" s="36">
        <v>150.9</v>
      </c>
      <c r="CO39" s="36">
        <v>147.6</v>
      </c>
      <c r="CP39" s="36">
        <v>146.9</v>
      </c>
      <c r="CQ39" s="36">
        <v>148.15</v>
      </c>
      <c r="CR39" s="36">
        <v>149.4</v>
      </c>
      <c r="CS39" s="36">
        <v>149.4</v>
      </c>
      <c r="CT39" s="36">
        <v>148.4</v>
      </c>
      <c r="CU39" s="36">
        <v>149.5</v>
      </c>
      <c r="CV39" s="36">
        <v>159.19999999999999</v>
      </c>
      <c r="CW39" s="36">
        <v>171.6</v>
      </c>
      <c r="CX39" s="36">
        <v>173.4</v>
      </c>
      <c r="CY39" s="36">
        <v>173.4</v>
      </c>
      <c r="CZ39" s="36">
        <v>168</v>
      </c>
      <c r="DA39" s="36">
        <v>163.19999999999999</v>
      </c>
      <c r="DB39" s="36">
        <v>163.4</v>
      </c>
      <c r="DC39" s="36">
        <v>168.6</v>
      </c>
      <c r="DD39" s="36">
        <v>179.3</v>
      </c>
      <c r="DE39" s="36">
        <v>180.4</v>
      </c>
      <c r="DF39" s="36">
        <v>176.5</v>
      </c>
      <c r="DG39" s="36">
        <v>172</v>
      </c>
      <c r="DH39" s="36">
        <v>170.1</v>
      </c>
      <c r="DI39" s="36">
        <v>171.5</v>
      </c>
      <c r="DJ39" s="36">
        <v>176.5</v>
      </c>
      <c r="DK39" s="36">
        <v>178</v>
      </c>
      <c r="DL39" s="36">
        <v>175.5</v>
      </c>
      <c r="DM39" s="36">
        <v>167.9</v>
      </c>
      <c r="DN39" s="36">
        <v>164.5</v>
      </c>
      <c r="DO39" s="36">
        <v>161.4</v>
      </c>
      <c r="DP39" s="36">
        <v>169.6</v>
      </c>
      <c r="DQ39" s="36">
        <v>174.3</v>
      </c>
      <c r="DR39" s="36">
        <v>168.3</v>
      </c>
      <c r="DS39" s="36">
        <v>169</v>
      </c>
      <c r="DT39" s="36">
        <v>170.3</v>
      </c>
      <c r="DU39" s="36">
        <v>180.2</v>
      </c>
      <c r="DV39" s="36">
        <v>189.1</v>
      </c>
      <c r="DW39" s="36">
        <v>192.9</v>
      </c>
      <c r="DX39" s="36">
        <v>173.9</v>
      </c>
      <c r="DY39" s="36">
        <v>173.9</v>
      </c>
      <c r="DZ39" s="36">
        <v>167.9</v>
      </c>
      <c r="EA39" s="36">
        <v>171</v>
      </c>
    </row>
    <row r="40" spans="4:131" x14ac:dyDescent="0.35">
      <c r="D40" s="49" t="s">
        <v>6</v>
      </c>
      <c r="E40" s="36" t="s">
        <v>59</v>
      </c>
      <c r="F40" s="36" t="s">
        <v>101</v>
      </c>
      <c r="G40" s="36">
        <v>104.9</v>
      </c>
      <c r="H40" s="36">
        <v>105.4</v>
      </c>
      <c r="I40" s="36">
        <v>105.6</v>
      </c>
      <c r="J40" s="36">
        <v>106.3</v>
      </c>
      <c r="K40" s="36">
        <v>107.5</v>
      </c>
      <c r="L40" s="36">
        <v>108.3</v>
      </c>
      <c r="M40" s="36">
        <v>109.3</v>
      </c>
      <c r="N40" s="36">
        <v>110</v>
      </c>
      <c r="O40" s="36">
        <v>111</v>
      </c>
      <c r="P40" s="36">
        <v>111.7</v>
      </c>
      <c r="Q40" s="36">
        <v>112.8</v>
      </c>
      <c r="R40" s="36">
        <v>113.8</v>
      </c>
      <c r="S40" s="36">
        <v>114.4</v>
      </c>
      <c r="T40" s="36">
        <v>115</v>
      </c>
      <c r="U40" s="36">
        <v>116.1</v>
      </c>
      <c r="V40" s="36">
        <v>117</v>
      </c>
      <c r="W40" s="36">
        <v>118</v>
      </c>
      <c r="X40" s="36">
        <v>119.3</v>
      </c>
      <c r="Y40" s="36">
        <v>120.6</v>
      </c>
      <c r="Z40" s="36">
        <v>121.9</v>
      </c>
      <c r="AA40" s="36">
        <v>122.7</v>
      </c>
      <c r="AB40" s="36">
        <v>123.2</v>
      </c>
      <c r="AC40" s="36">
        <v>124</v>
      </c>
      <c r="AD40" s="36">
        <v>124.2</v>
      </c>
      <c r="AE40" s="36">
        <v>124.9</v>
      </c>
      <c r="AF40" s="36">
        <v>125.8</v>
      </c>
      <c r="AG40" s="36">
        <v>126</v>
      </c>
      <c r="AH40" s="36">
        <v>126.8</v>
      </c>
      <c r="AI40" s="36">
        <v>127.7</v>
      </c>
      <c r="AJ40" s="36">
        <v>128.69999999999999</v>
      </c>
      <c r="AK40" s="36">
        <v>128.69999999999999</v>
      </c>
      <c r="AL40" s="36">
        <v>128.80000000000001</v>
      </c>
      <c r="AM40" s="36">
        <v>129.19999999999999</v>
      </c>
      <c r="AN40" s="36">
        <v>129.4</v>
      </c>
      <c r="AO40" s="36">
        <v>129.5</v>
      </c>
      <c r="AP40" s="36">
        <v>129.80000000000001</v>
      </c>
      <c r="AQ40" s="36">
        <v>130.30000000000001</v>
      </c>
      <c r="AR40" s="36">
        <v>130.69999999999999</v>
      </c>
      <c r="AS40" s="36">
        <v>130.5</v>
      </c>
      <c r="AT40" s="36">
        <v>131.30000000000001</v>
      </c>
      <c r="AU40" s="36">
        <v>132.4</v>
      </c>
      <c r="AV40" s="36">
        <v>133.6</v>
      </c>
      <c r="AW40" s="36">
        <v>134.5</v>
      </c>
      <c r="AX40" s="36">
        <v>135.30000000000001</v>
      </c>
      <c r="AY40" s="36">
        <v>135.5</v>
      </c>
      <c r="AZ40" s="36">
        <v>136</v>
      </c>
      <c r="BA40" s="36">
        <v>136.19999999999999</v>
      </c>
      <c r="BB40" s="36">
        <v>136.30000000000001</v>
      </c>
      <c r="BC40" s="36">
        <v>136.69999999999999</v>
      </c>
      <c r="BD40" s="36">
        <v>137.19999999999999</v>
      </c>
      <c r="BE40" s="36">
        <v>137.19999999999999</v>
      </c>
      <c r="BF40" s="36">
        <v>137.69999999999999</v>
      </c>
      <c r="BG40" s="36">
        <v>138.19999999999999</v>
      </c>
      <c r="BH40" s="36">
        <v>138.6</v>
      </c>
      <c r="BI40" s="36">
        <v>139</v>
      </c>
      <c r="BJ40" s="36">
        <v>139.4</v>
      </c>
      <c r="BK40" s="36">
        <v>140.19999999999999</v>
      </c>
      <c r="BL40" s="36">
        <v>141.5</v>
      </c>
      <c r="BM40" s="36">
        <v>141.5</v>
      </c>
      <c r="BN40" s="36">
        <v>141.9</v>
      </c>
      <c r="BO40" s="36">
        <v>142</v>
      </c>
      <c r="BP40" s="36">
        <v>141.5</v>
      </c>
      <c r="BQ40" s="36">
        <v>142</v>
      </c>
      <c r="BR40" s="36">
        <v>142.4</v>
      </c>
      <c r="BS40" s="36">
        <v>142.9</v>
      </c>
      <c r="BT40" s="36">
        <v>143.19999999999999</v>
      </c>
      <c r="BU40" s="36">
        <v>143.4</v>
      </c>
      <c r="BV40" s="36">
        <v>143.5</v>
      </c>
      <c r="BW40" s="36">
        <v>143.69999999999999</v>
      </c>
      <c r="BX40" s="36">
        <v>141.9</v>
      </c>
      <c r="BY40" s="36">
        <v>141.9</v>
      </c>
      <c r="BZ40" s="36">
        <v>142.4</v>
      </c>
      <c r="CA40" s="36">
        <v>142.4</v>
      </c>
      <c r="CB40" s="36">
        <v>142.5</v>
      </c>
      <c r="CC40" s="36">
        <v>142.5</v>
      </c>
      <c r="CD40" s="36">
        <v>142.55000000000001</v>
      </c>
      <c r="CE40" s="36">
        <v>142.6</v>
      </c>
      <c r="CF40" s="36">
        <v>143.19999999999999</v>
      </c>
      <c r="CG40" s="36">
        <v>143.9</v>
      </c>
      <c r="CH40" s="36">
        <v>144.6</v>
      </c>
      <c r="CI40" s="36">
        <v>145.69999999999999</v>
      </c>
      <c r="CJ40" s="36">
        <v>146.5</v>
      </c>
      <c r="CK40" s="36">
        <v>147.1</v>
      </c>
      <c r="CL40" s="36">
        <v>148.69999999999999</v>
      </c>
      <c r="CM40" s="36">
        <v>150.5</v>
      </c>
      <c r="CN40" s="36">
        <v>150.9</v>
      </c>
      <c r="CO40" s="36">
        <v>151.69999999999999</v>
      </c>
      <c r="CP40" s="36">
        <v>155.6</v>
      </c>
      <c r="CQ40" s="36">
        <v>154.44999999999999</v>
      </c>
      <c r="CR40" s="36">
        <v>153.30000000000001</v>
      </c>
      <c r="CS40" s="36">
        <v>153.30000000000001</v>
      </c>
      <c r="CT40" s="36">
        <v>153.30000000000001</v>
      </c>
      <c r="CU40" s="36">
        <v>153.4</v>
      </c>
      <c r="CV40" s="36">
        <v>153.6</v>
      </c>
      <c r="CW40" s="36">
        <v>153.80000000000001</v>
      </c>
      <c r="CX40" s="36">
        <v>154</v>
      </c>
      <c r="CY40" s="36">
        <v>154</v>
      </c>
      <c r="CZ40" s="36">
        <v>154.4</v>
      </c>
      <c r="DA40" s="36">
        <v>154.5</v>
      </c>
      <c r="DB40" s="36">
        <v>155</v>
      </c>
      <c r="DC40" s="36">
        <v>155.80000000000001</v>
      </c>
      <c r="DD40" s="36">
        <v>156.1</v>
      </c>
      <c r="DE40" s="36">
        <v>157.1</v>
      </c>
      <c r="DF40" s="36">
        <v>157.5</v>
      </c>
      <c r="DG40" s="36">
        <v>158</v>
      </c>
      <c r="DH40" s="36">
        <v>158.4</v>
      </c>
      <c r="DI40" s="36">
        <v>159.1</v>
      </c>
      <c r="DJ40" s="36">
        <v>159.80000000000001</v>
      </c>
      <c r="DK40" s="36">
        <v>160.5</v>
      </c>
      <c r="DL40" s="36">
        <v>160.69999999999999</v>
      </c>
      <c r="DM40" s="36">
        <v>162</v>
      </c>
      <c r="DN40" s="36">
        <v>163.80000000000001</v>
      </c>
      <c r="DO40" s="36">
        <v>164.6</v>
      </c>
      <c r="DP40" s="36">
        <v>165.4</v>
      </c>
      <c r="DQ40" s="36">
        <v>166.3</v>
      </c>
      <c r="DR40" s="36">
        <v>167.9</v>
      </c>
      <c r="DS40" s="36">
        <v>169.5</v>
      </c>
      <c r="DT40" s="36">
        <v>170.9</v>
      </c>
      <c r="DU40" s="36">
        <v>172.3</v>
      </c>
      <c r="DV40" s="36">
        <v>173.4</v>
      </c>
      <c r="DW40" s="36">
        <v>174.3</v>
      </c>
      <c r="DX40" s="36">
        <v>177</v>
      </c>
      <c r="DY40" s="36">
        <v>177</v>
      </c>
      <c r="DZ40" s="36">
        <v>178.2</v>
      </c>
      <c r="EA40" s="36">
        <v>179.6</v>
      </c>
    </row>
    <row r="41" spans="4:131" x14ac:dyDescent="0.35">
      <c r="D41" s="49" t="s">
        <v>7</v>
      </c>
      <c r="E41" s="36" t="s">
        <v>59</v>
      </c>
      <c r="F41" s="36" t="s">
        <v>101</v>
      </c>
      <c r="G41" s="36">
        <v>106.1</v>
      </c>
      <c r="H41" s="36">
        <v>106.7</v>
      </c>
      <c r="I41" s="36">
        <v>106.2</v>
      </c>
      <c r="J41" s="36">
        <v>105.7</v>
      </c>
      <c r="K41" s="36">
        <v>105.3</v>
      </c>
      <c r="L41" s="36">
        <v>105.9</v>
      </c>
      <c r="M41" s="36">
        <v>106.2</v>
      </c>
      <c r="N41" s="36">
        <v>106.4</v>
      </c>
      <c r="O41" s="36">
        <v>107.4</v>
      </c>
      <c r="P41" s="36">
        <v>107.7</v>
      </c>
      <c r="Q41" s="36">
        <v>108.9</v>
      </c>
      <c r="R41" s="36">
        <v>109.5</v>
      </c>
      <c r="S41" s="36">
        <v>109</v>
      </c>
      <c r="T41" s="36">
        <v>109</v>
      </c>
      <c r="U41" s="36">
        <v>109.3</v>
      </c>
      <c r="V41" s="36">
        <v>109.7</v>
      </c>
      <c r="W41" s="36">
        <v>110.1</v>
      </c>
      <c r="X41" s="36">
        <v>110.3</v>
      </c>
      <c r="Y41" s="36">
        <v>110.4</v>
      </c>
      <c r="Z41" s="36">
        <v>110.6</v>
      </c>
      <c r="AA41" s="36">
        <v>110.4</v>
      </c>
      <c r="AB41" s="36">
        <v>110.5</v>
      </c>
      <c r="AC41" s="36">
        <v>110.5</v>
      </c>
      <c r="AD41" s="36">
        <v>110.2</v>
      </c>
      <c r="AE41" s="36">
        <v>111</v>
      </c>
      <c r="AF41" s="36">
        <v>111.5</v>
      </c>
      <c r="AG41" s="36">
        <v>111.8</v>
      </c>
      <c r="AH41" s="36">
        <v>111.9</v>
      </c>
      <c r="AI41" s="36">
        <v>112.5</v>
      </c>
      <c r="AJ41" s="36">
        <v>114.1</v>
      </c>
      <c r="AK41" s="36">
        <v>113.5</v>
      </c>
      <c r="AL41" s="36">
        <v>114</v>
      </c>
      <c r="AM41" s="36">
        <v>114.7</v>
      </c>
      <c r="AN41" s="36">
        <v>115.8</v>
      </c>
      <c r="AO41" s="36">
        <v>117.8</v>
      </c>
      <c r="AP41" s="36">
        <v>118.3</v>
      </c>
      <c r="AQ41" s="36">
        <v>118.9</v>
      </c>
      <c r="AR41" s="36">
        <v>118.5</v>
      </c>
      <c r="AS41" s="36">
        <v>118.3</v>
      </c>
      <c r="AT41" s="36">
        <v>118.2</v>
      </c>
      <c r="AU41" s="36">
        <v>118.2</v>
      </c>
      <c r="AV41" s="36">
        <v>118.6</v>
      </c>
      <c r="AW41" s="36">
        <v>119.5</v>
      </c>
      <c r="AX41" s="36">
        <v>119.9</v>
      </c>
      <c r="AY41" s="36">
        <v>120.2</v>
      </c>
      <c r="AZ41" s="36">
        <v>120.8</v>
      </c>
      <c r="BA41" s="36">
        <v>121.1</v>
      </c>
      <c r="BB41" s="36">
        <v>121.6</v>
      </c>
      <c r="BC41" s="36">
        <v>122</v>
      </c>
      <c r="BD41" s="36">
        <v>122.1</v>
      </c>
      <c r="BE41" s="36">
        <v>121.6</v>
      </c>
      <c r="BF41" s="36">
        <v>121.3</v>
      </c>
      <c r="BG41" s="36">
        <v>120.8</v>
      </c>
      <c r="BH41" s="36">
        <v>120.9</v>
      </c>
      <c r="BI41" s="36">
        <v>120.9</v>
      </c>
      <c r="BJ41" s="36">
        <v>120.5</v>
      </c>
      <c r="BK41" s="36">
        <v>120.7</v>
      </c>
      <c r="BL41" s="36">
        <v>121.4</v>
      </c>
      <c r="BM41" s="36">
        <v>121.6</v>
      </c>
      <c r="BN41" s="36">
        <v>123.1</v>
      </c>
      <c r="BO41" s="36">
        <v>123.2</v>
      </c>
      <c r="BP41" s="36">
        <v>122.9</v>
      </c>
      <c r="BQ41" s="36">
        <v>123.2</v>
      </c>
      <c r="BR41" s="36">
        <v>123.5</v>
      </c>
      <c r="BS41" s="36">
        <v>123.6</v>
      </c>
      <c r="BT41" s="36">
        <v>124</v>
      </c>
      <c r="BU41" s="36">
        <v>124.1</v>
      </c>
      <c r="BV41" s="36">
        <v>125</v>
      </c>
      <c r="BW41" s="36">
        <v>124.6</v>
      </c>
      <c r="BX41" s="36">
        <v>123.5</v>
      </c>
      <c r="BY41" s="36">
        <v>122.8</v>
      </c>
      <c r="BZ41" s="36">
        <v>124.2</v>
      </c>
      <c r="CA41" s="36">
        <v>123.9</v>
      </c>
      <c r="CB41" s="36">
        <v>124.1</v>
      </c>
      <c r="CC41" s="36">
        <v>124.1</v>
      </c>
      <c r="CD41" s="36">
        <v>124.05</v>
      </c>
      <c r="CE41" s="36">
        <v>124</v>
      </c>
      <c r="CF41" s="36">
        <v>124.3</v>
      </c>
      <c r="CG41" s="36">
        <v>124.4</v>
      </c>
      <c r="CH41" s="36">
        <v>124.7</v>
      </c>
      <c r="CI41" s="36">
        <v>125.1</v>
      </c>
      <c r="CJ41" s="36">
        <v>125.6</v>
      </c>
      <c r="CK41" s="36">
        <v>126</v>
      </c>
      <c r="CL41" s="36">
        <v>127.5</v>
      </c>
      <c r="CM41" s="36">
        <v>132</v>
      </c>
      <c r="CN41" s="36">
        <v>133.69999999999999</v>
      </c>
      <c r="CO41" s="36">
        <v>133.30000000000001</v>
      </c>
      <c r="CP41" s="36">
        <v>137.1</v>
      </c>
      <c r="CQ41" s="36">
        <v>137.64999999999998</v>
      </c>
      <c r="CR41" s="36">
        <v>138.19999999999999</v>
      </c>
      <c r="CS41" s="36">
        <v>138.19999999999999</v>
      </c>
      <c r="CT41" s="36">
        <v>139.80000000000001</v>
      </c>
      <c r="CU41" s="36">
        <v>140.4</v>
      </c>
      <c r="CV41" s="36">
        <v>142.6</v>
      </c>
      <c r="CW41" s="36">
        <v>145.4</v>
      </c>
      <c r="CX41" s="36">
        <v>150</v>
      </c>
      <c r="CY41" s="36">
        <v>154.80000000000001</v>
      </c>
      <c r="CZ41" s="36">
        <v>163</v>
      </c>
      <c r="DA41" s="36">
        <v>168.2</v>
      </c>
      <c r="DB41" s="36">
        <v>175.2</v>
      </c>
      <c r="DC41" s="36">
        <v>184.4</v>
      </c>
      <c r="DD41" s="36">
        <v>190.4</v>
      </c>
      <c r="DE41" s="36">
        <v>188.7</v>
      </c>
      <c r="DF41" s="36">
        <v>190.9</v>
      </c>
      <c r="DG41" s="36">
        <v>195.5</v>
      </c>
      <c r="DH41" s="36">
        <v>198.8</v>
      </c>
      <c r="DI41" s="36">
        <v>198.4</v>
      </c>
      <c r="DJ41" s="36">
        <v>195.8</v>
      </c>
      <c r="DK41" s="36">
        <v>192.6</v>
      </c>
      <c r="DL41" s="36">
        <v>192.6</v>
      </c>
      <c r="DM41" s="36">
        <v>203.1</v>
      </c>
      <c r="DN41" s="36">
        <v>207.4</v>
      </c>
      <c r="DO41" s="36">
        <v>209.9</v>
      </c>
      <c r="DP41" s="36">
        <v>208.1</v>
      </c>
      <c r="DQ41" s="36">
        <v>202.2</v>
      </c>
      <c r="DR41" s="36">
        <v>198.1</v>
      </c>
      <c r="DS41" s="36">
        <v>194.1</v>
      </c>
      <c r="DT41" s="36">
        <v>191.6</v>
      </c>
      <c r="DU41" s="36">
        <v>194</v>
      </c>
      <c r="DV41" s="36">
        <v>193.9</v>
      </c>
      <c r="DW41" s="36">
        <v>192.6</v>
      </c>
      <c r="DX41" s="36">
        <v>183.4</v>
      </c>
      <c r="DY41" s="36">
        <v>183.3</v>
      </c>
      <c r="DZ41" s="36">
        <v>178.5</v>
      </c>
      <c r="EA41" s="36">
        <v>173.3</v>
      </c>
    </row>
    <row r="42" spans="4:131" x14ac:dyDescent="0.35">
      <c r="D42" s="49" t="s">
        <v>8</v>
      </c>
      <c r="E42" s="36" t="s">
        <v>59</v>
      </c>
      <c r="F42" s="36" t="s">
        <v>101</v>
      </c>
      <c r="G42" s="36">
        <v>103.9</v>
      </c>
      <c r="H42" s="36">
        <v>104</v>
      </c>
      <c r="I42" s="36">
        <v>105.7</v>
      </c>
      <c r="J42" s="36">
        <v>108.3</v>
      </c>
      <c r="K42" s="36">
        <v>108.1</v>
      </c>
      <c r="L42" s="36">
        <v>109.2</v>
      </c>
      <c r="M42" s="36">
        <v>110.3</v>
      </c>
      <c r="N42" s="36">
        <v>110.8</v>
      </c>
      <c r="O42" s="36">
        <v>110.9</v>
      </c>
      <c r="P42" s="36">
        <v>113.2</v>
      </c>
      <c r="Q42" s="36">
        <v>116.6</v>
      </c>
      <c r="R42" s="36">
        <v>115.5</v>
      </c>
      <c r="S42" s="36">
        <v>115.5</v>
      </c>
      <c r="T42" s="36">
        <v>116.6</v>
      </c>
      <c r="U42" s="36">
        <v>119.6</v>
      </c>
      <c r="V42" s="36">
        <v>125.5</v>
      </c>
      <c r="W42" s="36">
        <v>126.3</v>
      </c>
      <c r="X42" s="36">
        <v>125.8</v>
      </c>
      <c r="Y42" s="36">
        <v>129.1</v>
      </c>
      <c r="Z42" s="36">
        <v>129.69999999999999</v>
      </c>
      <c r="AA42" s="36">
        <v>129.80000000000001</v>
      </c>
      <c r="AB42" s="36">
        <v>128.9</v>
      </c>
      <c r="AC42" s="36">
        <v>128.80000000000001</v>
      </c>
      <c r="AD42" s="36">
        <v>128.6</v>
      </c>
      <c r="AE42" s="36">
        <v>130.4</v>
      </c>
      <c r="AF42" s="36">
        <v>129.4</v>
      </c>
      <c r="AG42" s="36">
        <v>130.9</v>
      </c>
      <c r="AH42" s="36">
        <v>134.19999999999999</v>
      </c>
      <c r="AI42" s="36">
        <v>134.1</v>
      </c>
      <c r="AJ42" s="36">
        <v>133.19999999999999</v>
      </c>
      <c r="AK42" s="36">
        <v>133.30000000000001</v>
      </c>
      <c r="AL42" s="36">
        <v>134.19999999999999</v>
      </c>
      <c r="AM42" s="36">
        <v>132.30000000000001</v>
      </c>
      <c r="AN42" s="36">
        <v>133.19999999999999</v>
      </c>
      <c r="AO42" s="36">
        <v>132.1</v>
      </c>
      <c r="AP42" s="36">
        <v>131.6</v>
      </c>
      <c r="AQ42" s="36">
        <v>131.6</v>
      </c>
      <c r="AR42" s="36">
        <v>130.4</v>
      </c>
      <c r="AS42" s="36">
        <v>131.69999999999999</v>
      </c>
      <c r="AT42" s="36">
        <v>138.1</v>
      </c>
      <c r="AU42" s="36">
        <v>138.1</v>
      </c>
      <c r="AV42" s="36">
        <v>137.4</v>
      </c>
      <c r="AW42" s="36">
        <v>138.5</v>
      </c>
      <c r="AX42" s="36">
        <v>140.19999999999999</v>
      </c>
      <c r="AY42" s="36">
        <v>139.19999999999999</v>
      </c>
      <c r="AZ42" s="36">
        <v>138.4</v>
      </c>
      <c r="BA42" s="36">
        <v>136.9</v>
      </c>
      <c r="BB42" s="36">
        <v>135.6</v>
      </c>
      <c r="BC42" s="36">
        <v>136</v>
      </c>
      <c r="BD42" s="36">
        <v>138.69999999999999</v>
      </c>
      <c r="BE42" s="36">
        <v>139.69999999999999</v>
      </c>
      <c r="BF42" s="36">
        <v>141.80000000000001</v>
      </c>
      <c r="BG42" s="36">
        <v>140.19999999999999</v>
      </c>
      <c r="BH42" s="36">
        <v>140.9</v>
      </c>
      <c r="BI42" s="36">
        <v>143.9</v>
      </c>
      <c r="BJ42" s="36">
        <v>148</v>
      </c>
      <c r="BK42" s="36">
        <v>147.80000000000001</v>
      </c>
      <c r="BL42" s="36">
        <v>146.69999999999999</v>
      </c>
      <c r="BM42" s="36">
        <v>147.30000000000001</v>
      </c>
      <c r="BN42" s="36">
        <v>147.19999999999999</v>
      </c>
      <c r="BO42" s="36">
        <v>147.9</v>
      </c>
      <c r="BP42" s="36">
        <v>149.4</v>
      </c>
      <c r="BQ42" s="36">
        <v>152.9</v>
      </c>
      <c r="BR42" s="36">
        <v>156.4</v>
      </c>
      <c r="BS42" s="36">
        <v>157.5</v>
      </c>
      <c r="BT42" s="36">
        <v>154.1</v>
      </c>
      <c r="BU42" s="36">
        <v>153.30000000000001</v>
      </c>
      <c r="BV42" s="36">
        <v>154.4</v>
      </c>
      <c r="BW42" s="36">
        <v>150.1</v>
      </c>
      <c r="BX42" s="36">
        <v>144.5</v>
      </c>
      <c r="BY42" s="36">
        <v>143.9</v>
      </c>
      <c r="BZ42" s="36">
        <v>140.19999999999999</v>
      </c>
      <c r="CA42" s="36">
        <v>135.5</v>
      </c>
      <c r="CB42" s="36">
        <v>135.80000000000001</v>
      </c>
      <c r="CC42" s="36">
        <v>136.1</v>
      </c>
      <c r="CD42" s="36">
        <v>139.89999999999998</v>
      </c>
      <c r="CE42" s="36">
        <v>143.69999999999999</v>
      </c>
      <c r="CF42" s="36">
        <v>143.30000000000001</v>
      </c>
      <c r="CG42" s="36">
        <v>146.4</v>
      </c>
      <c r="CH42" s="36">
        <v>145.5</v>
      </c>
      <c r="CI42" s="36">
        <v>143.80000000000001</v>
      </c>
      <c r="CJ42" s="36">
        <v>145.69999999999999</v>
      </c>
      <c r="CK42" s="36">
        <v>146.19999999999999</v>
      </c>
      <c r="CL42" s="36">
        <v>144.30000000000001</v>
      </c>
      <c r="CM42" s="36">
        <v>142.19999999999999</v>
      </c>
      <c r="CN42" s="36">
        <v>140.69999999999999</v>
      </c>
      <c r="CO42" s="36">
        <v>141.80000000000001</v>
      </c>
      <c r="CP42" s="36">
        <v>147.30000000000001</v>
      </c>
      <c r="CQ42" s="36">
        <v>145.25</v>
      </c>
      <c r="CR42" s="36">
        <v>143.19999999999999</v>
      </c>
      <c r="CS42" s="36">
        <v>143.19999999999999</v>
      </c>
      <c r="CT42" s="36">
        <v>146.9</v>
      </c>
      <c r="CU42" s="36">
        <v>147</v>
      </c>
      <c r="CV42" s="36">
        <v>147.19999999999999</v>
      </c>
      <c r="CW42" s="36">
        <v>146.5</v>
      </c>
      <c r="CX42" s="36">
        <v>145.9</v>
      </c>
      <c r="CY42" s="36">
        <v>147</v>
      </c>
      <c r="CZ42" s="36">
        <v>147.80000000000001</v>
      </c>
      <c r="DA42" s="36">
        <v>150.5</v>
      </c>
      <c r="DB42" s="36">
        <v>160.6</v>
      </c>
      <c r="DC42" s="36">
        <v>162.30000000000001</v>
      </c>
      <c r="DD42" s="36">
        <v>158.6</v>
      </c>
      <c r="DE42" s="36">
        <v>157.69999999999999</v>
      </c>
      <c r="DF42" s="36">
        <v>155.69999999999999</v>
      </c>
      <c r="DG42" s="36">
        <v>152.69999999999999</v>
      </c>
      <c r="DH42" s="36">
        <v>152.6</v>
      </c>
      <c r="DI42" s="36">
        <v>153.19999999999999</v>
      </c>
      <c r="DJ42" s="36">
        <v>152</v>
      </c>
      <c r="DK42" s="36">
        <v>151.19999999999999</v>
      </c>
      <c r="DL42" s="36">
        <v>151.4</v>
      </c>
      <c r="DM42" s="36">
        <v>155.9</v>
      </c>
      <c r="DN42" s="36">
        <v>169.7</v>
      </c>
      <c r="DO42" s="36">
        <v>168</v>
      </c>
      <c r="DP42" s="36">
        <v>165.8</v>
      </c>
      <c r="DQ42" s="36">
        <v>169.6</v>
      </c>
      <c r="DR42" s="36">
        <v>169.2</v>
      </c>
      <c r="DS42" s="36">
        <v>164.1</v>
      </c>
      <c r="DT42" s="36">
        <v>162.19999999999999</v>
      </c>
      <c r="DU42" s="36">
        <v>159.1</v>
      </c>
      <c r="DV42" s="36">
        <v>156.69999999999999</v>
      </c>
      <c r="DW42" s="36">
        <v>156.30000000000001</v>
      </c>
      <c r="DX42" s="36">
        <v>167.2</v>
      </c>
      <c r="DY42" s="36">
        <v>167.2</v>
      </c>
      <c r="DZ42" s="36">
        <v>173.7</v>
      </c>
      <c r="EA42" s="36">
        <v>169</v>
      </c>
    </row>
    <row r="43" spans="4:131" x14ac:dyDescent="0.35">
      <c r="D43" s="49" t="s">
        <v>9</v>
      </c>
      <c r="E43" s="36" t="s">
        <v>59</v>
      </c>
      <c r="F43" s="36" t="s">
        <v>101</v>
      </c>
      <c r="G43" s="36">
        <v>101.9</v>
      </c>
      <c r="H43" s="36">
        <v>102.4</v>
      </c>
      <c r="I43" s="36">
        <v>101.4</v>
      </c>
      <c r="J43" s="36">
        <v>103.4</v>
      </c>
      <c r="K43" s="36">
        <v>107.3</v>
      </c>
      <c r="L43" s="36">
        <v>118</v>
      </c>
      <c r="M43" s="36">
        <v>129.19999999999999</v>
      </c>
      <c r="N43" s="36">
        <v>138.9</v>
      </c>
      <c r="O43" s="36">
        <v>154</v>
      </c>
      <c r="P43" s="36">
        <v>164.9</v>
      </c>
      <c r="Q43" s="36">
        <v>178.1</v>
      </c>
      <c r="R43" s="36">
        <v>145.69999999999999</v>
      </c>
      <c r="S43" s="36">
        <v>123.9</v>
      </c>
      <c r="T43" s="36">
        <v>116</v>
      </c>
      <c r="U43" s="36">
        <v>117.9</v>
      </c>
      <c r="V43" s="36">
        <v>120.5</v>
      </c>
      <c r="W43" s="36">
        <v>123.9</v>
      </c>
      <c r="X43" s="36">
        <v>129.30000000000001</v>
      </c>
      <c r="Y43" s="36">
        <v>150.1</v>
      </c>
      <c r="Z43" s="36">
        <v>161.1</v>
      </c>
      <c r="AA43" s="36">
        <v>158.80000000000001</v>
      </c>
      <c r="AB43" s="36">
        <v>155.30000000000001</v>
      </c>
      <c r="AC43" s="36">
        <v>152</v>
      </c>
      <c r="AD43" s="36">
        <v>140.30000000000001</v>
      </c>
      <c r="AE43" s="36">
        <v>132.30000000000001</v>
      </c>
      <c r="AF43" s="36">
        <v>128.19999999999999</v>
      </c>
      <c r="AG43" s="36">
        <v>128</v>
      </c>
      <c r="AH43" s="36">
        <v>127.5</v>
      </c>
      <c r="AI43" s="36">
        <v>128.5</v>
      </c>
      <c r="AJ43" s="36">
        <v>135.19999999999999</v>
      </c>
      <c r="AK43" s="36">
        <v>140.80000000000001</v>
      </c>
      <c r="AL43" s="36">
        <v>153.6</v>
      </c>
      <c r="AM43" s="36">
        <v>158.9</v>
      </c>
      <c r="AN43" s="36">
        <v>157.69999999999999</v>
      </c>
      <c r="AO43" s="36">
        <v>155.19999999999999</v>
      </c>
      <c r="AP43" s="36">
        <v>145.5</v>
      </c>
      <c r="AQ43" s="36">
        <v>140.1</v>
      </c>
      <c r="AR43" s="36">
        <v>130.9</v>
      </c>
      <c r="AS43" s="36">
        <v>130.69999999999999</v>
      </c>
      <c r="AT43" s="36">
        <v>134.1</v>
      </c>
      <c r="AU43" s="36">
        <v>141.80000000000001</v>
      </c>
      <c r="AV43" s="36">
        <v>152.5</v>
      </c>
      <c r="AW43" s="36">
        <v>158.19999999999999</v>
      </c>
      <c r="AX43" s="36">
        <v>156.9</v>
      </c>
      <c r="AY43" s="36">
        <v>149.5</v>
      </c>
      <c r="AZ43" s="36">
        <v>149.19999999999999</v>
      </c>
      <c r="BA43" s="36">
        <v>141.80000000000001</v>
      </c>
      <c r="BB43" s="36">
        <v>127.5</v>
      </c>
      <c r="BC43" s="36">
        <v>119.8</v>
      </c>
      <c r="BD43" s="36">
        <v>119.1</v>
      </c>
      <c r="BE43" s="36">
        <v>119.7</v>
      </c>
      <c r="BF43" s="36">
        <v>121.5</v>
      </c>
      <c r="BG43" s="36">
        <v>123.8</v>
      </c>
      <c r="BH43" s="36">
        <v>128.80000000000001</v>
      </c>
      <c r="BI43" s="36">
        <v>151.5</v>
      </c>
      <c r="BJ43" s="36">
        <v>162.9</v>
      </c>
      <c r="BK43" s="36">
        <v>154.5</v>
      </c>
      <c r="BL43" s="36">
        <v>157.1</v>
      </c>
      <c r="BM43" s="36">
        <v>168</v>
      </c>
      <c r="BN43" s="36">
        <v>161</v>
      </c>
      <c r="BO43" s="36">
        <v>152.1</v>
      </c>
      <c r="BP43" s="36">
        <v>142.4</v>
      </c>
      <c r="BQ43" s="36">
        <v>138</v>
      </c>
      <c r="BR43" s="36">
        <v>135.1</v>
      </c>
      <c r="BS43" s="36">
        <v>137.80000000000001</v>
      </c>
      <c r="BT43" s="36">
        <v>143.5</v>
      </c>
      <c r="BU43" s="36">
        <v>154.19999999999999</v>
      </c>
      <c r="BV43" s="36">
        <v>156.30000000000001</v>
      </c>
      <c r="BW43" s="36">
        <v>149.4</v>
      </c>
      <c r="BX43" s="36">
        <v>147.6</v>
      </c>
      <c r="BY43" s="36">
        <v>147.5</v>
      </c>
      <c r="BZ43" s="36">
        <v>136.6</v>
      </c>
      <c r="CA43" s="36">
        <v>131.69999999999999</v>
      </c>
      <c r="CB43" s="36">
        <v>128.69999999999999</v>
      </c>
      <c r="CC43" s="36">
        <v>128.19999999999999</v>
      </c>
      <c r="CD43" s="36">
        <v>130.80000000000001</v>
      </c>
      <c r="CE43" s="36">
        <v>133.4</v>
      </c>
      <c r="CF43" s="36">
        <v>140.6</v>
      </c>
      <c r="CG43" s="36">
        <v>150.1</v>
      </c>
      <c r="CH43" s="36">
        <v>156.19999999999999</v>
      </c>
      <c r="CI43" s="36">
        <v>163.4</v>
      </c>
      <c r="CJ43" s="36">
        <v>178.8</v>
      </c>
      <c r="CK43" s="36">
        <v>191.4</v>
      </c>
      <c r="CL43" s="36">
        <v>209.5</v>
      </c>
      <c r="CM43" s="36">
        <v>191.5</v>
      </c>
      <c r="CN43" s="36">
        <v>165.1</v>
      </c>
      <c r="CO43" s="36">
        <v>152.30000000000001</v>
      </c>
      <c r="CP43" s="36">
        <v>162.69999999999999</v>
      </c>
      <c r="CQ43" s="36">
        <v>155.80000000000001</v>
      </c>
      <c r="CR43" s="36">
        <v>148.9</v>
      </c>
      <c r="CS43" s="36">
        <v>148.9</v>
      </c>
      <c r="CT43" s="36">
        <v>171</v>
      </c>
      <c r="CU43" s="36">
        <v>178.8</v>
      </c>
      <c r="CV43" s="36">
        <v>200.6</v>
      </c>
      <c r="CW43" s="36">
        <v>222.2</v>
      </c>
      <c r="CX43" s="36">
        <v>225.2</v>
      </c>
      <c r="CY43" s="36">
        <v>187.8</v>
      </c>
      <c r="CZ43" s="36">
        <v>149.69999999999999</v>
      </c>
      <c r="DA43" s="36">
        <v>141</v>
      </c>
      <c r="DB43" s="36">
        <v>135.1</v>
      </c>
      <c r="DC43" s="36">
        <v>138.4</v>
      </c>
      <c r="DD43" s="36">
        <v>144.69999999999999</v>
      </c>
      <c r="DE43" s="36">
        <v>152.80000000000001</v>
      </c>
      <c r="DF43" s="36">
        <v>153.9</v>
      </c>
      <c r="DG43" s="36">
        <v>151.4</v>
      </c>
      <c r="DH43" s="36">
        <v>170.4</v>
      </c>
      <c r="DI43" s="36">
        <v>183.9</v>
      </c>
      <c r="DJ43" s="36">
        <v>172.3</v>
      </c>
      <c r="DK43" s="36">
        <v>159.19999999999999</v>
      </c>
      <c r="DL43" s="36">
        <v>155.19999999999999</v>
      </c>
      <c r="DM43" s="36">
        <v>155.80000000000001</v>
      </c>
      <c r="DN43" s="36">
        <v>153.6</v>
      </c>
      <c r="DO43" s="36">
        <v>160.4</v>
      </c>
      <c r="DP43" s="36">
        <v>167.3</v>
      </c>
      <c r="DQ43" s="36">
        <v>168.6</v>
      </c>
      <c r="DR43" s="36">
        <v>173.1</v>
      </c>
      <c r="DS43" s="36">
        <v>176.9</v>
      </c>
      <c r="DT43" s="36">
        <v>184.8</v>
      </c>
      <c r="DU43" s="36">
        <v>171.6</v>
      </c>
      <c r="DV43" s="36">
        <v>150.19999999999999</v>
      </c>
      <c r="DW43" s="36">
        <v>142.9</v>
      </c>
      <c r="DX43" s="36">
        <v>140.9</v>
      </c>
      <c r="DY43" s="36">
        <v>140.9</v>
      </c>
      <c r="DZ43" s="36">
        <v>142.80000000000001</v>
      </c>
      <c r="EA43" s="36">
        <v>148.69999999999999</v>
      </c>
    </row>
    <row r="44" spans="4:131" x14ac:dyDescent="0.35">
      <c r="D44" s="49" t="s">
        <v>10</v>
      </c>
      <c r="E44" s="36" t="s">
        <v>59</v>
      </c>
      <c r="F44" s="36" t="s">
        <v>101</v>
      </c>
      <c r="G44" s="36">
        <v>106.1</v>
      </c>
      <c r="H44" s="36">
        <v>105.9</v>
      </c>
      <c r="I44" s="36">
        <v>105.7</v>
      </c>
      <c r="J44" s="36">
        <v>105.7</v>
      </c>
      <c r="K44" s="36">
        <v>106.1</v>
      </c>
      <c r="L44" s="36">
        <v>106.8</v>
      </c>
      <c r="M44" s="36">
        <v>107.1</v>
      </c>
      <c r="N44" s="36">
        <v>107.4</v>
      </c>
      <c r="O44" s="36">
        <v>108.1</v>
      </c>
      <c r="P44" s="36">
        <v>108.3</v>
      </c>
      <c r="Q44" s="36">
        <v>109.1</v>
      </c>
      <c r="R44" s="36">
        <v>109.5</v>
      </c>
      <c r="S44" s="36">
        <v>109.6</v>
      </c>
      <c r="T44" s="36">
        <v>109.8</v>
      </c>
      <c r="U44" s="36">
        <v>110.2</v>
      </c>
      <c r="V44" s="36">
        <v>111</v>
      </c>
      <c r="W44" s="36">
        <v>111.5</v>
      </c>
      <c r="X44" s="36">
        <v>112.2</v>
      </c>
      <c r="Y44" s="36">
        <v>113.2</v>
      </c>
      <c r="Z44" s="36">
        <v>114.1</v>
      </c>
      <c r="AA44" s="36">
        <v>115</v>
      </c>
      <c r="AB44" s="36">
        <v>115.5</v>
      </c>
      <c r="AC44" s="36">
        <v>116.2</v>
      </c>
      <c r="AD44" s="36">
        <v>116.3</v>
      </c>
      <c r="AE44" s="36">
        <v>117.2</v>
      </c>
      <c r="AF44" s="36">
        <v>118.8</v>
      </c>
      <c r="AG44" s="36">
        <v>119.9</v>
      </c>
      <c r="AH44" s="36">
        <v>121.5</v>
      </c>
      <c r="AI44" s="36">
        <v>124.3</v>
      </c>
      <c r="AJ44" s="36">
        <v>131.9</v>
      </c>
      <c r="AK44" s="36">
        <v>133.80000000000001</v>
      </c>
      <c r="AL44" s="36">
        <v>137.9</v>
      </c>
      <c r="AM44" s="36">
        <v>142.1</v>
      </c>
      <c r="AN44" s="36">
        <v>154.19999999999999</v>
      </c>
      <c r="AO44" s="36">
        <v>160.80000000000001</v>
      </c>
      <c r="AP44" s="36">
        <v>162.1</v>
      </c>
      <c r="AQ44" s="36">
        <v>163.80000000000001</v>
      </c>
      <c r="AR44" s="36">
        <v>162.80000000000001</v>
      </c>
      <c r="AS44" s="36">
        <v>161.19999999999999</v>
      </c>
      <c r="AT44" s="36">
        <v>162.69999999999999</v>
      </c>
      <c r="AU44" s="36">
        <v>166</v>
      </c>
      <c r="AV44" s="36">
        <v>169.2</v>
      </c>
      <c r="AW44" s="36">
        <v>171.8</v>
      </c>
      <c r="AX44" s="36">
        <v>172.2</v>
      </c>
      <c r="AY44" s="36">
        <v>170.4</v>
      </c>
      <c r="AZ44" s="36">
        <v>170.2</v>
      </c>
      <c r="BA44" s="36">
        <v>170</v>
      </c>
      <c r="BB44" s="36">
        <v>167.9</v>
      </c>
      <c r="BC44" s="36">
        <v>161.69999999999999</v>
      </c>
      <c r="BD44" s="36">
        <v>156.9</v>
      </c>
      <c r="BE44" s="36">
        <v>148</v>
      </c>
      <c r="BF44" s="36">
        <v>144.5</v>
      </c>
      <c r="BG44" s="36">
        <v>141.80000000000001</v>
      </c>
      <c r="BH44" s="36">
        <v>140.19999999999999</v>
      </c>
      <c r="BI44" s="36">
        <v>138.1</v>
      </c>
      <c r="BJ44" s="36">
        <v>137.4</v>
      </c>
      <c r="BK44" s="36">
        <v>137.1</v>
      </c>
      <c r="BL44" s="36">
        <v>136.4</v>
      </c>
      <c r="BM44" s="36">
        <v>135.80000000000001</v>
      </c>
      <c r="BN44" s="36">
        <v>133.80000000000001</v>
      </c>
      <c r="BO44" s="36">
        <v>131.80000000000001</v>
      </c>
      <c r="BP44" s="36">
        <v>130.19999999999999</v>
      </c>
      <c r="BQ44" s="36">
        <v>129.30000000000001</v>
      </c>
      <c r="BR44" s="36">
        <v>128.4</v>
      </c>
      <c r="BS44" s="36">
        <v>127.2</v>
      </c>
      <c r="BT44" s="36">
        <v>126</v>
      </c>
      <c r="BU44" s="36">
        <v>126.4</v>
      </c>
      <c r="BV44" s="36">
        <v>126.8</v>
      </c>
      <c r="BW44" s="36">
        <v>125.4</v>
      </c>
      <c r="BX44" s="36">
        <v>121.4</v>
      </c>
      <c r="BY44" s="36">
        <v>121</v>
      </c>
      <c r="BZ44" s="36">
        <v>120.9</v>
      </c>
      <c r="CA44" s="36">
        <v>121.3</v>
      </c>
      <c r="CB44" s="36">
        <v>121.5</v>
      </c>
      <c r="CC44" s="36">
        <v>122.3</v>
      </c>
      <c r="CD44" s="36">
        <v>123.69999999999999</v>
      </c>
      <c r="CE44" s="36">
        <v>125.1</v>
      </c>
      <c r="CF44" s="36">
        <v>128.69999999999999</v>
      </c>
      <c r="CG44" s="36">
        <v>130.6</v>
      </c>
      <c r="CH44" s="36">
        <v>131.5</v>
      </c>
      <c r="CI44" s="36">
        <v>132.19999999999999</v>
      </c>
      <c r="CJ44" s="36">
        <v>133.1</v>
      </c>
      <c r="CK44" s="36">
        <v>136.19999999999999</v>
      </c>
      <c r="CL44" s="36">
        <v>138.80000000000001</v>
      </c>
      <c r="CM44" s="36">
        <v>141.1</v>
      </c>
      <c r="CN44" s="36">
        <v>141.80000000000001</v>
      </c>
      <c r="CO44" s="36">
        <v>141.80000000000001</v>
      </c>
      <c r="CP44" s="36">
        <v>150.19999999999999</v>
      </c>
      <c r="CQ44" s="36">
        <v>150.25</v>
      </c>
      <c r="CR44" s="36">
        <v>150.30000000000001</v>
      </c>
      <c r="CS44" s="36">
        <v>150.30000000000001</v>
      </c>
      <c r="CT44" s="36">
        <v>149.9</v>
      </c>
      <c r="CU44" s="36">
        <v>149.30000000000001</v>
      </c>
      <c r="CV44" s="36">
        <v>150.30000000000001</v>
      </c>
      <c r="CW44" s="36">
        <v>155.9</v>
      </c>
      <c r="CX44" s="36">
        <v>159.5</v>
      </c>
      <c r="CY44" s="36">
        <v>159.5</v>
      </c>
      <c r="CZ44" s="36">
        <v>158.30000000000001</v>
      </c>
      <c r="DA44" s="36">
        <v>159.19999999999999</v>
      </c>
      <c r="DB44" s="36">
        <v>161.1</v>
      </c>
      <c r="DC44" s="36">
        <v>165.1</v>
      </c>
      <c r="DD44" s="36">
        <v>165.5</v>
      </c>
      <c r="DE44" s="36">
        <v>163.6</v>
      </c>
      <c r="DF44" s="36">
        <v>162.80000000000001</v>
      </c>
      <c r="DG44" s="36">
        <v>163.9</v>
      </c>
      <c r="DH44" s="36">
        <v>165.2</v>
      </c>
      <c r="DI44" s="36">
        <v>165.4</v>
      </c>
      <c r="DJ44" s="36">
        <v>164.5</v>
      </c>
      <c r="DK44" s="36">
        <v>164</v>
      </c>
      <c r="DL44" s="36">
        <v>163.9</v>
      </c>
      <c r="DM44" s="36">
        <v>164.2</v>
      </c>
      <c r="DN44" s="36">
        <v>165.1</v>
      </c>
      <c r="DO44" s="36">
        <v>165</v>
      </c>
      <c r="DP44" s="36">
        <v>164.6</v>
      </c>
      <c r="DQ44" s="36">
        <v>164.4</v>
      </c>
      <c r="DR44" s="36">
        <v>167.1</v>
      </c>
      <c r="DS44" s="36">
        <v>169</v>
      </c>
      <c r="DT44" s="36">
        <v>169.7</v>
      </c>
      <c r="DU44" s="36">
        <v>170.2</v>
      </c>
      <c r="DV44" s="36">
        <v>170.5</v>
      </c>
      <c r="DW44" s="36">
        <v>170.7</v>
      </c>
      <c r="DX44" s="36">
        <v>170.4</v>
      </c>
      <c r="DY44" s="36">
        <v>170.5</v>
      </c>
      <c r="DZ44" s="36">
        <v>172.8</v>
      </c>
      <c r="EA44" s="36">
        <v>174.9</v>
      </c>
    </row>
    <row r="45" spans="4:131" x14ac:dyDescent="0.35">
      <c r="D45" s="49" t="s">
        <v>11</v>
      </c>
      <c r="E45" s="36" t="s">
        <v>59</v>
      </c>
      <c r="F45" s="36" t="s">
        <v>101</v>
      </c>
      <c r="G45" s="36">
        <v>106.8</v>
      </c>
      <c r="H45" s="36">
        <v>105.7</v>
      </c>
      <c r="I45" s="36">
        <v>105</v>
      </c>
      <c r="J45" s="36">
        <v>104.2</v>
      </c>
      <c r="K45" s="36">
        <v>103.7</v>
      </c>
      <c r="L45" s="36">
        <v>104.1</v>
      </c>
      <c r="M45" s="36">
        <v>104.3</v>
      </c>
      <c r="N45" s="36">
        <v>104.1</v>
      </c>
      <c r="O45" s="36">
        <v>104.2</v>
      </c>
      <c r="P45" s="36">
        <v>103.9</v>
      </c>
      <c r="Q45" s="36">
        <v>103.6</v>
      </c>
      <c r="R45" s="36">
        <v>102.9</v>
      </c>
      <c r="S45" s="36">
        <v>101.8</v>
      </c>
      <c r="T45" s="36">
        <v>101.1</v>
      </c>
      <c r="U45" s="36">
        <v>101.2</v>
      </c>
      <c r="V45" s="36">
        <v>102.6</v>
      </c>
      <c r="W45" s="36">
        <v>103.5</v>
      </c>
      <c r="X45" s="36">
        <v>103.6</v>
      </c>
      <c r="Y45" s="36">
        <v>104.8</v>
      </c>
      <c r="Z45" s="36">
        <v>105.1</v>
      </c>
      <c r="AA45" s="36">
        <v>104.7</v>
      </c>
      <c r="AB45" s="36">
        <v>104</v>
      </c>
      <c r="AC45" s="36">
        <v>103.3</v>
      </c>
      <c r="AD45" s="36">
        <v>102</v>
      </c>
      <c r="AE45" s="36">
        <v>100.5</v>
      </c>
      <c r="AF45" s="36">
        <v>100</v>
      </c>
      <c r="AG45" s="36">
        <v>98.9</v>
      </c>
      <c r="AH45" s="36">
        <v>97.8</v>
      </c>
      <c r="AI45" s="36">
        <v>97.6</v>
      </c>
      <c r="AJ45" s="36">
        <v>96.3</v>
      </c>
      <c r="AK45" s="36">
        <v>94.1</v>
      </c>
      <c r="AL45" s="36">
        <v>93.1</v>
      </c>
      <c r="AM45" s="36">
        <v>92.5</v>
      </c>
      <c r="AN45" s="36">
        <v>93.7</v>
      </c>
      <c r="AO45" s="36">
        <v>94.5</v>
      </c>
      <c r="AP45" s="36">
        <v>95.4</v>
      </c>
      <c r="AQ45" s="36">
        <v>97.7</v>
      </c>
      <c r="AR45" s="36">
        <v>98.7</v>
      </c>
      <c r="AS45" s="36">
        <v>100.4</v>
      </c>
      <c r="AT45" s="36">
        <v>105</v>
      </c>
      <c r="AU45" s="36">
        <v>107.5</v>
      </c>
      <c r="AV45" s="36">
        <v>108.8</v>
      </c>
      <c r="AW45" s="36">
        <v>110.3</v>
      </c>
      <c r="AX45" s="36">
        <v>112.1</v>
      </c>
      <c r="AY45" s="36">
        <v>113.1</v>
      </c>
      <c r="AZ45" s="36">
        <v>113.4</v>
      </c>
      <c r="BA45" s="36">
        <v>113.4</v>
      </c>
      <c r="BB45" s="36">
        <v>113.8</v>
      </c>
      <c r="BC45" s="36">
        <v>114.8</v>
      </c>
      <c r="BD45" s="36">
        <v>116.2</v>
      </c>
      <c r="BE45" s="36">
        <v>116.9</v>
      </c>
      <c r="BF45" s="36">
        <v>117.4</v>
      </c>
      <c r="BG45" s="36">
        <v>118.6</v>
      </c>
      <c r="BH45" s="36">
        <v>118.9</v>
      </c>
      <c r="BI45" s="36">
        <v>120</v>
      </c>
      <c r="BJ45" s="36">
        <v>120.8</v>
      </c>
      <c r="BK45" s="36">
        <v>121</v>
      </c>
      <c r="BL45" s="36">
        <v>121.4</v>
      </c>
      <c r="BM45" s="36">
        <v>122.5</v>
      </c>
      <c r="BN45" s="36">
        <v>121.9</v>
      </c>
      <c r="BO45" s="36">
        <v>119.5</v>
      </c>
      <c r="BP45" s="36">
        <v>117.9</v>
      </c>
      <c r="BQ45" s="36">
        <v>117.1</v>
      </c>
      <c r="BR45" s="36">
        <v>115.2</v>
      </c>
      <c r="BS45" s="36">
        <v>111.8</v>
      </c>
      <c r="BT45" s="36">
        <v>112.4</v>
      </c>
      <c r="BU45" s="36">
        <v>114.3</v>
      </c>
      <c r="BV45" s="36">
        <v>115.4</v>
      </c>
      <c r="BW45" s="36">
        <v>114.4</v>
      </c>
      <c r="BX45" s="36">
        <v>112.3</v>
      </c>
      <c r="BY45" s="36">
        <v>111.6</v>
      </c>
      <c r="BZ45" s="36">
        <v>109.9</v>
      </c>
      <c r="CA45" s="36">
        <v>108.4</v>
      </c>
      <c r="CB45" s="36">
        <v>108.3</v>
      </c>
      <c r="CC45" s="36">
        <v>108.3</v>
      </c>
      <c r="CD45" s="36">
        <v>108.8</v>
      </c>
      <c r="CE45" s="36">
        <v>109.3</v>
      </c>
      <c r="CF45" s="36">
        <v>110.6</v>
      </c>
      <c r="CG45" s="36">
        <v>110.8</v>
      </c>
      <c r="CH45" s="36">
        <v>111.7</v>
      </c>
      <c r="CI45" s="36">
        <v>112.8</v>
      </c>
      <c r="CJ45" s="36">
        <v>113.6</v>
      </c>
      <c r="CK45" s="36">
        <v>113.8</v>
      </c>
      <c r="CL45" s="36">
        <v>113.6</v>
      </c>
      <c r="CM45" s="36">
        <v>113.8</v>
      </c>
      <c r="CN45" s="36">
        <v>113.1</v>
      </c>
      <c r="CO45" s="36">
        <v>112.6</v>
      </c>
      <c r="CP45" s="36">
        <v>119.8</v>
      </c>
      <c r="CQ45" s="36">
        <v>116.5</v>
      </c>
      <c r="CR45" s="36">
        <v>113.2</v>
      </c>
      <c r="CS45" s="36">
        <v>113.2</v>
      </c>
      <c r="CT45" s="36">
        <v>114.2</v>
      </c>
      <c r="CU45" s="36">
        <v>115.1</v>
      </c>
      <c r="CV45" s="36">
        <v>115.3</v>
      </c>
      <c r="CW45" s="36">
        <v>114.9</v>
      </c>
      <c r="CX45" s="36">
        <v>114.4</v>
      </c>
      <c r="CY45" s="36">
        <v>113.8</v>
      </c>
      <c r="CZ45" s="36">
        <v>111.8</v>
      </c>
      <c r="DA45" s="36">
        <v>111.7</v>
      </c>
      <c r="DB45" s="36">
        <v>112.2</v>
      </c>
      <c r="DC45" s="36">
        <v>114.3</v>
      </c>
      <c r="DD45" s="36">
        <v>114.6</v>
      </c>
      <c r="DE45" s="36">
        <v>113.9</v>
      </c>
      <c r="DF45" s="36">
        <v>115.2</v>
      </c>
      <c r="DG45" s="36">
        <v>119.3</v>
      </c>
      <c r="DH45" s="36">
        <v>121.6</v>
      </c>
      <c r="DI45" s="36">
        <v>122.1</v>
      </c>
      <c r="DJ45" s="36">
        <v>120.6</v>
      </c>
      <c r="DK45" s="36">
        <v>119.3</v>
      </c>
      <c r="DL45" s="36">
        <v>118.1</v>
      </c>
      <c r="DM45" s="36">
        <v>118.1</v>
      </c>
      <c r="DN45" s="36">
        <v>118.2</v>
      </c>
      <c r="DO45" s="36">
        <v>118.9</v>
      </c>
      <c r="DP45" s="36">
        <v>119.1</v>
      </c>
      <c r="DQ45" s="36">
        <v>119.2</v>
      </c>
      <c r="DR45" s="36">
        <v>120.2</v>
      </c>
      <c r="DS45" s="36">
        <v>120.8</v>
      </c>
      <c r="DT45" s="36">
        <v>121.1</v>
      </c>
      <c r="DU45" s="36">
        <v>121.5</v>
      </c>
      <c r="DV45" s="36">
        <v>121.2</v>
      </c>
      <c r="DW45" s="36">
        <v>120.3</v>
      </c>
      <c r="DX45" s="36">
        <v>119.1</v>
      </c>
      <c r="DY45" s="36">
        <v>119.1</v>
      </c>
      <c r="DZ45" s="36">
        <v>120.4</v>
      </c>
      <c r="EA45" s="36">
        <v>121.9</v>
      </c>
    </row>
    <row r="46" spans="4:131" x14ac:dyDescent="0.35">
      <c r="D46" s="49" t="s">
        <v>12</v>
      </c>
      <c r="E46" s="36" t="s">
        <v>59</v>
      </c>
      <c r="F46" s="36" t="s">
        <v>101</v>
      </c>
      <c r="G46" s="36">
        <v>103.1</v>
      </c>
      <c r="H46" s="36">
        <v>103.1</v>
      </c>
      <c r="I46" s="36">
        <v>103.3</v>
      </c>
      <c r="J46" s="36">
        <v>103.2</v>
      </c>
      <c r="K46" s="36">
        <v>104</v>
      </c>
      <c r="L46" s="36">
        <v>105.4</v>
      </c>
      <c r="M46" s="36">
        <v>106.4</v>
      </c>
      <c r="N46" s="36">
        <v>106.9</v>
      </c>
      <c r="O46" s="36">
        <v>107.9</v>
      </c>
      <c r="P46" s="36">
        <v>108.2</v>
      </c>
      <c r="Q46" s="36">
        <v>109</v>
      </c>
      <c r="R46" s="36">
        <v>109.8</v>
      </c>
      <c r="S46" s="36">
        <v>110.2</v>
      </c>
      <c r="T46" s="36">
        <v>110.4</v>
      </c>
      <c r="U46" s="36">
        <v>110.7</v>
      </c>
      <c r="V46" s="36">
        <v>111.2</v>
      </c>
      <c r="W46" s="36">
        <v>111.6</v>
      </c>
      <c r="X46" s="36">
        <v>112.3</v>
      </c>
      <c r="Y46" s="36">
        <v>113.3</v>
      </c>
      <c r="Z46" s="36">
        <v>114.6</v>
      </c>
      <c r="AA46" s="36">
        <v>114.9</v>
      </c>
      <c r="AB46" s="36">
        <v>115.3</v>
      </c>
      <c r="AC46" s="36">
        <v>115.8</v>
      </c>
      <c r="AD46" s="36">
        <v>116</v>
      </c>
      <c r="AE46" s="36">
        <v>117.2</v>
      </c>
      <c r="AF46" s="36">
        <v>118.6</v>
      </c>
      <c r="AG46" s="36">
        <v>119.4</v>
      </c>
      <c r="AH46" s="36">
        <v>119.8</v>
      </c>
      <c r="AI46" s="36">
        <v>120.7</v>
      </c>
      <c r="AJ46" s="36">
        <v>123</v>
      </c>
      <c r="AK46" s="36">
        <v>123.4</v>
      </c>
      <c r="AL46" s="36">
        <v>123.9</v>
      </c>
      <c r="AM46" s="36">
        <v>125.4</v>
      </c>
      <c r="AN46" s="36">
        <v>126.6</v>
      </c>
      <c r="AO46" s="36">
        <v>128.30000000000001</v>
      </c>
      <c r="AP46" s="36">
        <v>128.9</v>
      </c>
      <c r="AQ46" s="36">
        <v>129.6</v>
      </c>
      <c r="AR46" s="36">
        <v>130.6</v>
      </c>
      <c r="AS46" s="36">
        <v>130.80000000000001</v>
      </c>
      <c r="AT46" s="36">
        <v>131.4</v>
      </c>
      <c r="AU46" s="36">
        <v>132.19999999999999</v>
      </c>
      <c r="AV46" s="36">
        <v>133.1</v>
      </c>
      <c r="AW46" s="36">
        <v>134.30000000000001</v>
      </c>
      <c r="AX46" s="36">
        <v>134.9</v>
      </c>
      <c r="AY46" s="36">
        <v>135.80000000000001</v>
      </c>
      <c r="AZ46" s="36">
        <v>136.30000000000001</v>
      </c>
      <c r="BA46" s="36">
        <v>136.80000000000001</v>
      </c>
      <c r="BB46" s="36">
        <v>137.5</v>
      </c>
      <c r="BC46" s="36">
        <v>136.9</v>
      </c>
      <c r="BD46" s="36">
        <v>136</v>
      </c>
      <c r="BE46" s="36">
        <v>135.6</v>
      </c>
      <c r="BF46" s="36">
        <v>134.1</v>
      </c>
      <c r="BG46" s="36">
        <v>134</v>
      </c>
      <c r="BH46" s="36">
        <v>133.5</v>
      </c>
      <c r="BI46" s="36">
        <v>133.9</v>
      </c>
      <c r="BJ46" s="36">
        <v>134.69999999999999</v>
      </c>
      <c r="BK46" s="36">
        <v>134.69999999999999</v>
      </c>
      <c r="BL46" s="36">
        <v>135.6</v>
      </c>
      <c r="BM46" s="36">
        <v>136</v>
      </c>
      <c r="BN46" s="36">
        <v>135.80000000000001</v>
      </c>
      <c r="BO46" s="36">
        <v>136</v>
      </c>
      <c r="BP46" s="36">
        <v>135.6</v>
      </c>
      <c r="BQ46" s="36">
        <v>136.30000000000001</v>
      </c>
      <c r="BR46" s="36">
        <v>137.19999999999999</v>
      </c>
      <c r="BS46" s="36">
        <v>137.4</v>
      </c>
      <c r="BT46" s="36">
        <v>137.6</v>
      </c>
      <c r="BU46" s="36">
        <v>138.19999999999999</v>
      </c>
      <c r="BV46" s="36">
        <v>138.6</v>
      </c>
      <c r="BW46" s="36">
        <v>138.69999999999999</v>
      </c>
      <c r="BX46" s="36">
        <v>139.5</v>
      </c>
      <c r="BY46" s="36">
        <v>140.6</v>
      </c>
      <c r="BZ46" s="36">
        <v>140.19999999999999</v>
      </c>
      <c r="CA46" s="36">
        <v>138.9</v>
      </c>
      <c r="CB46" s="36">
        <v>139.19999999999999</v>
      </c>
      <c r="CC46" s="36">
        <v>138.9</v>
      </c>
      <c r="CD46" s="36">
        <v>139.10000000000002</v>
      </c>
      <c r="CE46" s="36">
        <v>139.30000000000001</v>
      </c>
      <c r="CF46" s="36">
        <v>140.4</v>
      </c>
      <c r="CG46" s="36">
        <v>141.69999999999999</v>
      </c>
      <c r="CH46" s="36">
        <v>142.69999999999999</v>
      </c>
      <c r="CI46" s="36">
        <v>144.19999999999999</v>
      </c>
      <c r="CJ46" s="36">
        <v>145.5</v>
      </c>
      <c r="CK46" s="36">
        <v>147.30000000000001</v>
      </c>
      <c r="CL46" s="36">
        <v>149.1</v>
      </c>
      <c r="CM46" s="36">
        <v>151.6</v>
      </c>
      <c r="CN46" s="36">
        <v>152.80000000000001</v>
      </c>
      <c r="CO46" s="36">
        <v>154</v>
      </c>
      <c r="CP46" s="36">
        <v>158.69999999999999</v>
      </c>
      <c r="CQ46" s="36">
        <v>159.25</v>
      </c>
      <c r="CR46" s="36">
        <v>159.80000000000001</v>
      </c>
      <c r="CS46" s="36">
        <v>159.80000000000001</v>
      </c>
      <c r="CT46" s="36">
        <v>160</v>
      </c>
      <c r="CU46" s="36">
        <v>160</v>
      </c>
      <c r="CV46" s="36">
        <v>160.9</v>
      </c>
      <c r="CW46" s="36">
        <v>162</v>
      </c>
      <c r="CX46" s="36">
        <v>163.5</v>
      </c>
      <c r="CY46" s="36">
        <v>164.5</v>
      </c>
      <c r="CZ46" s="36">
        <v>165</v>
      </c>
      <c r="DA46" s="36">
        <v>164</v>
      </c>
      <c r="DB46" s="36">
        <v>164.4</v>
      </c>
      <c r="DC46" s="36">
        <v>169.7</v>
      </c>
      <c r="DD46" s="36">
        <v>170</v>
      </c>
      <c r="DE46" s="36">
        <v>169.7</v>
      </c>
      <c r="DF46" s="36">
        <v>169.8</v>
      </c>
      <c r="DG46" s="36">
        <v>170.1</v>
      </c>
      <c r="DH46" s="36">
        <v>170.6</v>
      </c>
      <c r="DI46" s="36">
        <v>170.8</v>
      </c>
      <c r="DJ46" s="36">
        <v>171.7</v>
      </c>
      <c r="DK46" s="36">
        <v>173.3</v>
      </c>
      <c r="DL46" s="36">
        <v>175.4</v>
      </c>
      <c r="DM46" s="36">
        <v>178.7</v>
      </c>
      <c r="DN46" s="36">
        <v>182.9</v>
      </c>
      <c r="DO46" s="36">
        <v>186.6</v>
      </c>
      <c r="DP46" s="36">
        <v>188.9</v>
      </c>
      <c r="DQ46" s="36">
        <v>191.8</v>
      </c>
      <c r="DR46" s="36">
        <v>195.6</v>
      </c>
      <c r="DS46" s="36">
        <v>199.1</v>
      </c>
      <c r="DT46" s="36">
        <v>201.6</v>
      </c>
      <c r="DU46" s="36">
        <v>204.8</v>
      </c>
      <c r="DV46" s="36">
        <v>207.5</v>
      </c>
      <c r="DW46" s="36">
        <v>210.5</v>
      </c>
      <c r="DX46" s="36">
        <v>212.1</v>
      </c>
      <c r="DY46" s="36">
        <v>212.1</v>
      </c>
      <c r="DZ46" s="36">
        <v>215.5</v>
      </c>
      <c r="EA46" s="36">
        <v>221</v>
      </c>
    </row>
    <row r="47" spans="4:131" x14ac:dyDescent="0.35">
      <c r="D47" s="49" t="s">
        <v>13</v>
      </c>
      <c r="E47" s="36" t="s">
        <v>59</v>
      </c>
      <c r="F47" s="36" t="s">
        <v>101</v>
      </c>
      <c r="G47" s="36">
        <v>104.8</v>
      </c>
      <c r="H47" s="36">
        <v>105.1</v>
      </c>
      <c r="I47" s="36">
        <v>105.6</v>
      </c>
      <c r="J47" s="36">
        <v>106.5</v>
      </c>
      <c r="K47" s="36">
        <v>107.4</v>
      </c>
      <c r="L47" s="36">
        <v>108.2</v>
      </c>
      <c r="M47" s="36">
        <v>109.1</v>
      </c>
      <c r="N47" s="36">
        <v>109.7</v>
      </c>
      <c r="O47" s="36">
        <v>110.4</v>
      </c>
      <c r="P47" s="36">
        <v>111.1</v>
      </c>
      <c r="Q47" s="36">
        <v>111.8</v>
      </c>
      <c r="R47" s="36">
        <v>112.1</v>
      </c>
      <c r="S47" s="36">
        <v>112.4</v>
      </c>
      <c r="T47" s="36">
        <v>112.9</v>
      </c>
      <c r="U47" s="36">
        <v>113</v>
      </c>
      <c r="V47" s="36">
        <v>113.5</v>
      </c>
      <c r="W47" s="36">
        <v>114.2</v>
      </c>
      <c r="X47" s="36">
        <v>114.9</v>
      </c>
      <c r="Y47" s="36">
        <v>115.6</v>
      </c>
      <c r="Z47" s="36">
        <v>115.8</v>
      </c>
      <c r="AA47" s="36">
        <v>116.5</v>
      </c>
      <c r="AB47" s="36">
        <v>116.8</v>
      </c>
      <c r="AC47" s="36">
        <v>116.8</v>
      </c>
      <c r="AD47" s="36">
        <v>117.3</v>
      </c>
      <c r="AE47" s="36">
        <v>117.9</v>
      </c>
      <c r="AF47" s="36">
        <v>118.8</v>
      </c>
      <c r="AG47" s="36">
        <v>118.9</v>
      </c>
      <c r="AH47" s="36">
        <v>119.4</v>
      </c>
      <c r="AI47" s="36">
        <v>120.2</v>
      </c>
      <c r="AJ47" s="36">
        <v>121.1</v>
      </c>
      <c r="AK47" s="36">
        <v>121</v>
      </c>
      <c r="AL47" s="36">
        <v>121.5</v>
      </c>
      <c r="AM47" s="36">
        <v>121.9</v>
      </c>
      <c r="AN47" s="36">
        <v>122.3</v>
      </c>
      <c r="AO47" s="36">
        <v>123.1</v>
      </c>
      <c r="AP47" s="36">
        <v>123.3</v>
      </c>
      <c r="AQ47" s="36">
        <v>124.3</v>
      </c>
      <c r="AR47" s="36">
        <v>124.8</v>
      </c>
      <c r="AS47" s="36">
        <v>124.9</v>
      </c>
      <c r="AT47" s="36">
        <v>125.4</v>
      </c>
      <c r="AU47" s="36">
        <v>126.1</v>
      </c>
      <c r="AV47" s="36">
        <v>126.4</v>
      </c>
      <c r="AW47" s="36">
        <v>127.3</v>
      </c>
      <c r="AX47" s="36">
        <v>128.1</v>
      </c>
      <c r="AY47" s="36">
        <v>128.80000000000001</v>
      </c>
      <c r="AZ47" s="36">
        <v>128.69999999999999</v>
      </c>
      <c r="BA47" s="36">
        <v>128.69999999999999</v>
      </c>
      <c r="BB47" s="36">
        <v>129.1</v>
      </c>
      <c r="BC47" s="36">
        <v>129</v>
      </c>
      <c r="BD47" s="36">
        <v>129.4</v>
      </c>
      <c r="BE47" s="36">
        <v>129.80000000000001</v>
      </c>
      <c r="BF47" s="36">
        <v>130</v>
      </c>
      <c r="BG47" s="36">
        <v>130.30000000000001</v>
      </c>
      <c r="BH47" s="36">
        <v>130.4</v>
      </c>
      <c r="BI47" s="36">
        <v>131.4</v>
      </c>
      <c r="BJ47" s="36">
        <v>131.6</v>
      </c>
      <c r="BK47" s="36">
        <v>131.69999999999999</v>
      </c>
      <c r="BL47" s="36">
        <v>131.30000000000001</v>
      </c>
      <c r="BM47" s="36">
        <v>131.9</v>
      </c>
      <c r="BN47" s="36">
        <v>131.1</v>
      </c>
      <c r="BO47" s="36">
        <v>131.19999999999999</v>
      </c>
      <c r="BP47" s="36">
        <v>130.5</v>
      </c>
      <c r="BQ47" s="36">
        <v>131.19999999999999</v>
      </c>
      <c r="BR47" s="36">
        <v>131.9</v>
      </c>
      <c r="BS47" s="36">
        <v>132.19999999999999</v>
      </c>
      <c r="BT47" s="36">
        <v>132.80000000000001</v>
      </c>
      <c r="BU47" s="36">
        <v>132.80000000000001</v>
      </c>
      <c r="BV47" s="36">
        <v>133.80000000000001</v>
      </c>
      <c r="BW47" s="36">
        <v>133.1</v>
      </c>
      <c r="BX47" s="36">
        <v>134.6</v>
      </c>
      <c r="BY47" s="36">
        <v>137.5</v>
      </c>
      <c r="BZ47" s="36">
        <v>137.80000000000001</v>
      </c>
      <c r="CA47" s="36">
        <v>137</v>
      </c>
      <c r="CB47" s="36">
        <v>137.4</v>
      </c>
      <c r="CC47" s="36">
        <v>137.4</v>
      </c>
      <c r="CD47" s="36">
        <v>137.55000000000001</v>
      </c>
      <c r="CE47" s="36">
        <v>137.69999999999999</v>
      </c>
      <c r="CF47" s="36">
        <v>138</v>
      </c>
      <c r="CG47" s="36">
        <v>138.5</v>
      </c>
      <c r="CH47" s="36">
        <v>138.5</v>
      </c>
      <c r="CI47" s="36">
        <v>138.5</v>
      </c>
      <c r="CJ47" s="36">
        <v>138.6</v>
      </c>
      <c r="CK47" s="36">
        <v>138.69999999999999</v>
      </c>
      <c r="CL47" s="36">
        <v>139.30000000000001</v>
      </c>
      <c r="CM47" s="36">
        <v>139.69999999999999</v>
      </c>
      <c r="CN47" s="36">
        <v>140.1</v>
      </c>
      <c r="CO47" s="36">
        <v>140.1</v>
      </c>
      <c r="CP47" s="36">
        <v>139.19999999999999</v>
      </c>
      <c r="CQ47" s="36">
        <v>140.64999999999998</v>
      </c>
      <c r="CR47" s="36">
        <v>142.1</v>
      </c>
      <c r="CS47" s="36">
        <v>142.1</v>
      </c>
      <c r="CT47" s="36">
        <v>143.5</v>
      </c>
      <c r="CU47" s="36">
        <v>145.4</v>
      </c>
      <c r="CV47" s="36">
        <v>147.4</v>
      </c>
      <c r="CW47" s="36">
        <v>150</v>
      </c>
      <c r="CX47" s="36">
        <v>153.4</v>
      </c>
      <c r="CY47" s="36">
        <v>156.1</v>
      </c>
      <c r="CZ47" s="36">
        <v>160</v>
      </c>
      <c r="DA47" s="36">
        <v>160.6</v>
      </c>
      <c r="DB47" s="36">
        <v>161.9</v>
      </c>
      <c r="DC47" s="36">
        <v>164.6</v>
      </c>
      <c r="DD47" s="36">
        <v>165.5</v>
      </c>
      <c r="DE47" s="36">
        <v>166.2</v>
      </c>
      <c r="DF47" s="36">
        <v>167.6</v>
      </c>
      <c r="DG47" s="36">
        <v>168.3</v>
      </c>
      <c r="DH47" s="36">
        <v>168.8</v>
      </c>
      <c r="DI47" s="36">
        <v>169.1</v>
      </c>
      <c r="DJ47" s="36">
        <v>169.7</v>
      </c>
      <c r="DK47" s="36">
        <v>169.8</v>
      </c>
      <c r="DL47" s="36">
        <v>170.5</v>
      </c>
      <c r="DM47" s="36">
        <v>171.2</v>
      </c>
      <c r="DN47" s="36">
        <v>172.4</v>
      </c>
      <c r="DO47" s="36">
        <v>173.2</v>
      </c>
      <c r="DP47" s="36">
        <v>174.2</v>
      </c>
      <c r="DQ47" s="36">
        <v>174.5</v>
      </c>
      <c r="DR47" s="36">
        <v>174.8</v>
      </c>
      <c r="DS47" s="36">
        <v>175.4</v>
      </c>
      <c r="DT47" s="36">
        <v>175.8</v>
      </c>
      <c r="DU47" s="36">
        <v>176.4</v>
      </c>
      <c r="DV47" s="36">
        <v>176.8</v>
      </c>
      <c r="DW47" s="36">
        <v>176.9</v>
      </c>
      <c r="DX47" s="36">
        <v>177.6</v>
      </c>
      <c r="DY47" s="36">
        <v>177.6</v>
      </c>
      <c r="DZ47" s="36">
        <v>178.2</v>
      </c>
      <c r="EA47" s="36">
        <v>178.7</v>
      </c>
    </row>
    <row r="48" spans="4:131" x14ac:dyDescent="0.35">
      <c r="D48" s="49" t="s">
        <v>14</v>
      </c>
      <c r="E48" s="36" t="s">
        <v>59</v>
      </c>
      <c r="F48" s="36" t="s">
        <v>101</v>
      </c>
      <c r="G48" s="36">
        <v>106.7</v>
      </c>
      <c r="H48" s="36">
        <v>107.7</v>
      </c>
      <c r="I48" s="36">
        <v>108.2</v>
      </c>
      <c r="J48" s="36">
        <v>108.8</v>
      </c>
      <c r="K48" s="36">
        <v>109.9</v>
      </c>
      <c r="L48" s="36">
        <v>111</v>
      </c>
      <c r="M48" s="36">
        <v>112.1</v>
      </c>
      <c r="N48" s="36">
        <v>112.6</v>
      </c>
      <c r="O48" s="36">
        <v>114</v>
      </c>
      <c r="P48" s="36">
        <v>114.9</v>
      </c>
      <c r="Q48" s="36">
        <v>116</v>
      </c>
      <c r="R48" s="36">
        <v>116.8</v>
      </c>
      <c r="S48" s="36">
        <v>117.3</v>
      </c>
      <c r="T48" s="36">
        <v>117.8</v>
      </c>
      <c r="U48" s="36">
        <v>118.3</v>
      </c>
      <c r="V48" s="36">
        <v>118.7</v>
      </c>
      <c r="W48" s="36">
        <v>119.2</v>
      </c>
      <c r="X48" s="36">
        <v>120.1</v>
      </c>
      <c r="Y48" s="36">
        <v>120.9</v>
      </c>
      <c r="Z48" s="36">
        <v>121.7</v>
      </c>
      <c r="AA48" s="36">
        <v>122.6</v>
      </c>
      <c r="AB48" s="36">
        <v>123.2</v>
      </c>
      <c r="AC48" s="36">
        <v>124.5</v>
      </c>
      <c r="AD48" s="36">
        <v>124.8</v>
      </c>
      <c r="AE48" s="36">
        <v>125.6</v>
      </c>
      <c r="AF48" s="36">
        <v>126.8</v>
      </c>
      <c r="AG48" s="36">
        <v>127.7</v>
      </c>
      <c r="AH48" s="36">
        <v>128.69999999999999</v>
      </c>
      <c r="AI48" s="36">
        <v>129.80000000000001</v>
      </c>
      <c r="AJ48" s="36">
        <v>131.19999999999999</v>
      </c>
      <c r="AK48" s="36">
        <v>131.69999999999999</v>
      </c>
      <c r="AL48" s="36">
        <v>132.5</v>
      </c>
      <c r="AM48" s="36">
        <v>132.69999999999999</v>
      </c>
      <c r="AN48" s="36">
        <v>133.1</v>
      </c>
      <c r="AO48" s="36">
        <v>134.19999999999999</v>
      </c>
      <c r="AP48" s="36">
        <v>135.1</v>
      </c>
      <c r="AQ48" s="36">
        <v>135.9</v>
      </c>
      <c r="AR48" s="36">
        <v>136.4</v>
      </c>
      <c r="AS48" s="36">
        <v>137</v>
      </c>
      <c r="AT48" s="36">
        <v>137.4</v>
      </c>
      <c r="AU48" s="36">
        <v>138.30000000000001</v>
      </c>
      <c r="AV48" s="36">
        <v>139.19999999999999</v>
      </c>
      <c r="AW48" s="36">
        <v>139.9</v>
      </c>
      <c r="AX48" s="36">
        <v>140.69999999999999</v>
      </c>
      <c r="AY48" s="36">
        <v>141.5</v>
      </c>
      <c r="AZ48" s="36">
        <v>142.4</v>
      </c>
      <c r="BA48" s="36">
        <v>143.1</v>
      </c>
      <c r="BB48" s="36">
        <v>143.6</v>
      </c>
      <c r="BC48" s="36">
        <v>143.9</v>
      </c>
      <c r="BD48" s="36">
        <v>144.4</v>
      </c>
      <c r="BE48" s="36">
        <v>145.4</v>
      </c>
      <c r="BF48" s="36">
        <v>145.5</v>
      </c>
      <c r="BG48" s="36">
        <v>145.80000000000001</v>
      </c>
      <c r="BH48" s="36">
        <v>146.5</v>
      </c>
      <c r="BI48" s="36">
        <v>147.69999999999999</v>
      </c>
      <c r="BJ48" s="36">
        <v>148.69999999999999</v>
      </c>
      <c r="BK48" s="36">
        <v>149.30000000000001</v>
      </c>
      <c r="BL48" s="36">
        <v>150.30000000000001</v>
      </c>
      <c r="BM48" s="36">
        <v>151.4</v>
      </c>
      <c r="BN48" s="36">
        <v>151.4</v>
      </c>
      <c r="BO48" s="36">
        <v>151.80000000000001</v>
      </c>
      <c r="BP48" s="36">
        <v>151.69999999999999</v>
      </c>
      <c r="BQ48" s="36">
        <v>152.80000000000001</v>
      </c>
      <c r="BR48" s="36">
        <v>153.80000000000001</v>
      </c>
      <c r="BS48" s="36">
        <v>154.30000000000001</v>
      </c>
      <c r="BT48" s="36">
        <v>154.30000000000001</v>
      </c>
      <c r="BU48" s="36">
        <v>154.80000000000001</v>
      </c>
      <c r="BV48" s="36">
        <v>155.19999999999999</v>
      </c>
      <c r="BW48" s="36">
        <v>155.9</v>
      </c>
      <c r="BX48" s="36">
        <v>155.19999999999999</v>
      </c>
      <c r="BY48" s="36">
        <v>156.1</v>
      </c>
      <c r="BZ48" s="36">
        <v>156</v>
      </c>
      <c r="CA48" s="36">
        <v>155.80000000000001</v>
      </c>
      <c r="CB48" s="36">
        <v>156.19999999999999</v>
      </c>
      <c r="CC48" s="36">
        <v>156.4</v>
      </c>
      <c r="CD48" s="36">
        <v>156.4</v>
      </c>
      <c r="CE48" s="36">
        <v>156.4</v>
      </c>
      <c r="CF48" s="36">
        <v>156.6</v>
      </c>
      <c r="CG48" s="36">
        <v>156.69999999999999</v>
      </c>
      <c r="CH48" s="36">
        <v>156.9</v>
      </c>
      <c r="CI48" s="36">
        <v>157.19999999999999</v>
      </c>
      <c r="CJ48" s="36">
        <v>157.4</v>
      </c>
      <c r="CK48" s="36">
        <v>157.69999999999999</v>
      </c>
      <c r="CL48" s="36">
        <v>158.30000000000001</v>
      </c>
      <c r="CM48" s="36">
        <v>158.69999999999999</v>
      </c>
      <c r="CN48" s="36">
        <v>159.19999999999999</v>
      </c>
      <c r="CO48" s="36">
        <v>160</v>
      </c>
      <c r="CP48" s="36">
        <v>160.6</v>
      </c>
      <c r="CQ48" s="36">
        <v>161.20000000000002</v>
      </c>
      <c r="CR48" s="36">
        <v>161.80000000000001</v>
      </c>
      <c r="CS48" s="36">
        <v>161.80000000000001</v>
      </c>
      <c r="CT48" s="36">
        <v>161.5</v>
      </c>
      <c r="CU48" s="36">
        <v>161.6</v>
      </c>
      <c r="CV48" s="36">
        <v>161.9</v>
      </c>
      <c r="CW48" s="36">
        <v>162.69999999999999</v>
      </c>
      <c r="CX48" s="36">
        <v>163.6</v>
      </c>
      <c r="CY48" s="36">
        <v>164.3</v>
      </c>
      <c r="CZ48" s="36">
        <v>165.8</v>
      </c>
      <c r="DA48" s="36">
        <v>166.4</v>
      </c>
      <c r="DB48" s="36">
        <v>166.8</v>
      </c>
      <c r="DC48" s="36">
        <v>169.8</v>
      </c>
      <c r="DD48" s="36">
        <v>171.7</v>
      </c>
      <c r="DE48" s="36">
        <v>171</v>
      </c>
      <c r="DF48" s="36">
        <v>171.9</v>
      </c>
      <c r="DG48" s="36">
        <v>172.8</v>
      </c>
      <c r="DH48" s="36">
        <v>173.6</v>
      </c>
      <c r="DI48" s="36">
        <v>174.3</v>
      </c>
      <c r="DJ48" s="36">
        <v>175.1</v>
      </c>
      <c r="DK48" s="36">
        <v>175.8</v>
      </c>
      <c r="DL48" s="36">
        <v>176.3</v>
      </c>
      <c r="DM48" s="36">
        <v>177.4</v>
      </c>
      <c r="DN48" s="36">
        <v>178.9</v>
      </c>
      <c r="DO48" s="36">
        <v>180.4</v>
      </c>
      <c r="DP48" s="36">
        <v>181.9</v>
      </c>
      <c r="DQ48" s="36">
        <v>183.1</v>
      </c>
      <c r="DR48" s="36">
        <v>184</v>
      </c>
      <c r="DS48" s="36">
        <v>184.8</v>
      </c>
      <c r="DT48" s="36">
        <v>185.6</v>
      </c>
      <c r="DU48" s="36">
        <v>186.9</v>
      </c>
      <c r="DV48" s="36">
        <v>187.7</v>
      </c>
      <c r="DW48" s="36">
        <v>188.5</v>
      </c>
      <c r="DX48" s="36">
        <v>189.9</v>
      </c>
      <c r="DY48" s="36">
        <v>189.9</v>
      </c>
      <c r="DZ48" s="36">
        <v>190.5</v>
      </c>
      <c r="EA48" s="36">
        <v>191.1</v>
      </c>
    </row>
    <row r="49" spans="4:131" x14ac:dyDescent="0.35">
      <c r="D49" s="49" t="s">
        <v>15</v>
      </c>
      <c r="E49" s="36" t="s">
        <v>59</v>
      </c>
      <c r="F49" s="36" t="s">
        <v>101</v>
      </c>
      <c r="G49" s="36">
        <v>105.5</v>
      </c>
      <c r="H49" s="36">
        <v>106.3</v>
      </c>
      <c r="I49" s="36">
        <v>106.6</v>
      </c>
      <c r="J49" s="36">
        <v>107.1</v>
      </c>
      <c r="K49" s="36">
        <v>108.1</v>
      </c>
      <c r="L49" s="36">
        <v>110.6</v>
      </c>
      <c r="M49" s="36">
        <v>113.1</v>
      </c>
      <c r="N49" s="36">
        <v>114.9</v>
      </c>
      <c r="O49" s="36">
        <v>117.8</v>
      </c>
      <c r="P49" s="36">
        <v>119.8</v>
      </c>
      <c r="Q49" s="36">
        <v>122.5</v>
      </c>
      <c r="R49" s="36">
        <v>118.7</v>
      </c>
      <c r="S49" s="36">
        <v>116</v>
      </c>
      <c r="T49" s="36">
        <v>115.3</v>
      </c>
      <c r="U49" s="36">
        <v>116.2</v>
      </c>
      <c r="V49" s="36">
        <v>117.2</v>
      </c>
      <c r="W49" s="36">
        <v>118.2</v>
      </c>
      <c r="X49" s="36">
        <v>119.5</v>
      </c>
      <c r="Y49" s="36">
        <v>123.3</v>
      </c>
      <c r="Z49" s="36">
        <v>125.3</v>
      </c>
      <c r="AA49" s="36">
        <v>125.3</v>
      </c>
      <c r="AB49" s="36">
        <v>125.1</v>
      </c>
      <c r="AC49" s="36">
        <v>124.9</v>
      </c>
      <c r="AD49" s="36">
        <v>123.3</v>
      </c>
      <c r="AE49" s="36">
        <v>122.8</v>
      </c>
      <c r="AF49" s="36">
        <v>122.8</v>
      </c>
      <c r="AG49" s="36">
        <v>123.1</v>
      </c>
      <c r="AH49" s="36">
        <v>123.6</v>
      </c>
      <c r="AI49" s="36">
        <v>124.4</v>
      </c>
      <c r="AJ49" s="36">
        <v>126.6</v>
      </c>
      <c r="AK49" s="36">
        <v>127.5</v>
      </c>
      <c r="AL49" s="36">
        <v>129.80000000000001</v>
      </c>
      <c r="AM49" s="36">
        <v>131</v>
      </c>
      <c r="AN49" s="36">
        <v>131.80000000000001</v>
      </c>
      <c r="AO49" s="36">
        <v>132.4</v>
      </c>
      <c r="AP49" s="36">
        <v>131.4</v>
      </c>
      <c r="AQ49" s="36">
        <v>131.4</v>
      </c>
      <c r="AR49" s="36">
        <v>130.30000000000001</v>
      </c>
      <c r="AS49" s="36">
        <v>130.4</v>
      </c>
      <c r="AT49" s="36">
        <v>131.80000000000001</v>
      </c>
      <c r="AU49" s="36">
        <v>133.6</v>
      </c>
      <c r="AV49" s="36">
        <v>136</v>
      </c>
      <c r="AW49" s="36">
        <v>137.6</v>
      </c>
      <c r="AX49" s="36">
        <v>138</v>
      </c>
      <c r="AY49" s="36">
        <v>137.19999999999999</v>
      </c>
      <c r="AZ49" s="36">
        <v>137.4</v>
      </c>
      <c r="BA49" s="36">
        <v>136.6</v>
      </c>
      <c r="BB49" s="36">
        <v>134.69999999999999</v>
      </c>
      <c r="BC49" s="36">
        <v>133.69999999999999</v>
      </c>
      <c r="BD49" s="36">
        <v>133.6</v>
      </c>
      <c r="BE49" s="36">
        <v>133.4</v>
      </c>
      <c r="BF49" s="36">
        <v>133.5</v>
      </c>
      <c r="BG49" s="36">
        <v>133.80000000000001</v>
      </c>
      <c r="BH49" s="36">
        <v>134.9</v>
      </c>
      <c r="BI49" s="36">
        <v>138.5</v>
      </c>
      <c r="BJ49" s="36">
        <v>140.6</v>
      </c>
      <c r="BK49" s="36">
        <v>139.6</v>
      </c>
      <c r="BL49" s="36">
        <v>140.4</v>
      </c>
      <c r="BM49" s="36">
        <v>142.4</v>
      </c>
      <c r="BN49" s="36">
        <v>141.5</v>
      </c>
      <c r="BO49" s="36">
        <v>140.4</v>
      </c>
      <c r="BP49" s="36">
        <v>138.69999999999999</v>
      </c>
      <c r="BQ49" s="36">
        <v>138.6</v>
      </c>
      <c r="BR49" s="36">
        <v>138.6</v>
      </c>
      <c r="BS49" s="36">
        <v>139.1</v>
      </c>
      <c r="BT49" s="36">
        <v>140</v>
      </c>
      <c r="BU49" s="36">
        <v>142</v>
      </c>
      <c r="BV49" s="36">
        <v>142.69999999999999</v>
      </c>
      <c r="BW49" s="36">
        <v>141.30000000000001</v>
      </c>
      <c r="BX49" s="36">
        <v>140.19999999999999</v>
      </c>
      <c r="BY49" s="36">
        <v>140</v>
      </c>
      <c r="BZ49" s="36">
        <v>138.5</v>
      </c>
      <c r="CA49" s="36">
        <v>137.4</v>
      </c>
      <c r="CB49" s="36">
        <v>137.19999999999999</v>
      </c>
      <c r="CC49" s="36">
        <v>137.30000000000001</v>
      </c>
      <c r="CD49" s="36">
        <v>138.25</v>
      </c>
      <c r="CE49" s="36">
        <v>139.19999999999999</v>
      </c>
      <c r="CF49" s="36">
        <v>141</v>
      </c>
      <c r="CG49" s="36">
        <v>143</v>
      </c>
      <c r="CH49" s="36">
        <v>144</v>
      </c>
      <c r="CI49" s="36">
        <v>145.5</v>
      </c>
      <c r="CJ49" s="36">
        <v>148.30000000000001</v>
      </c>
      <c r="CK49" s="36">
        <v>150.9</v>
      </c>
      <c r="CL49" s="36">
        <v>154.30000000000001</v>
      </c>
      <c r="CM49" s="36">
        <v>153</v>
      </c>
      <c r="CN49" s="36">
        <v>149.80000000000001</v>
      </c>
      <c r="CO49" s="36">
        <v>148.19999999999999</v>
      </c>
      <c r="CP49" s="36">
        <v>150.1</v>
      </c>
      <c r="CQ49" s="36">
        <v>151.19999999999999</v>
      </c>
      <c r="CR49" s="36">
        <v>152.30000000000001</v>
      </c>
      <c r="CS49" s="36">
        <v>152.30000000000001</v>
      </c>
      <c r="CT49" s="36">
        <v>155.30000000000001</v>
      </c>
      <c r="CU49" s="36">
        <v>156.1</v>
      </c>
      <c r="CV49" s="36">
        <v>159.6</v>
      </c>
      <c r="CW49" s="36">
        <v>163.4</v>
      </c>
      <c r="CX49" s="36">
        <v>164.5</v>
      </c>
      <c r="CY49" s="36">
        <v>159.6</v>
      </c>
      <c r="CZ49" s="36">
        <v>154.69999999999999</v>
      </c>
      <c r="DA49" s="36">
        <v>154.5</v>
      </c>
      <c r="DB49" s="36">
        <v>155.6</v>
      </c>
      <c r="DC49" s="36">
        <v>158.69999999999999</v>
      </c>
      <c r="DD49" s="36">
        <v>160.5</v>
      </c>
      <c r="DE49" s="36">
        <v>161.69999999999999</v>
      </c>
      <c r="DF49" s="36">
        <v>161.80000000000001</v>
      </c>
      <c r="DG49" s="36">
        <v>162.1</v>
      </c>
      <c r="DH49" s="36">
        <v>165.5</v>
      </c>
      <c r="DI49" s="36">
        <v>167.5</v>
      </c>
      <c r="DJ49" s="36">
        <v>165.8</v>
      </c>
      <c r="DK49" s="36">
        <v>164.1</v>
      </c>
      <c r="DL49" s="36">
        <v>163.9</v>
      </c>
      <c r="DM49" s="36">
        <v>166.6</v>
      </c>
      <c r="DN49" s="36">
        <v>168.6</v>
      </c>
      <c r="DO49" s="36">
        <v>170.8</v>
      </c>
      <c r="DP49" s="36">
        <v>172.4</v>
      </c>
      <c r="DQ49" s="36">
        <v>172.5</v>
      </c>
      <c r="DR49" s="36">
        <v>173.9</v>
      </c>
      <c r="DS49" s="36">
        <v>175.5</v>
      </c>
      <c r="DT49" s="36">
        <v>177.4</v>
      </c>
      <c r="DU49" s="36">
        <v>176.6</v>
      </c>
      <c r="DV49" s="36">
        <v>174.4</v>
      </c>
      <c r="DW49" s="36">
        <v>175</v>
      </c>
      <c r="DX49" s="36">
        <v>174.8</v>
      </c>
      <c r="DY49" s="36">
        <v>174.8</v>
      </c>
      <c r="DZ49" s="36">
        <v>175.5</v>
      </c>
      <c r="EA49" s="36">
        <v>176.8</v>
      </c>
    </row>
    <row r="50" spans="4:131" x14ac:dyDescent="0.35">
      <c r="D50" s="49" t="s">
        <v>16</v>
      </c>
      <c r="E50" s="36" t="s">
        <v>60</v>
      </c>
      <c r="F50" s="36" t="s">
        <v>101</v>
      </c>
      <c r="G50" s="36">
        <v>105.1</v>
      </c>
      <c r="H50" s="36">
        <v>105.6</v>
      </c>
      <c r="I50" s="36">
        <v>106.5</v>
      </c>
      <c r="J50" s="36">
        <v>107.1</v>
      </c>
      <c r="K50" s="36">
        <v>108.1</v>
      </c>
      <c r="L50" s="36">
        <v>109</v>
      </c>
      <c r="M50" s="36">
        <v>109.8</v>
      </c>
      <c r="N50" s="36">
        <v>110.7</v>
      </c>
      <c r="O50" s="36">
        <v>111.7</v>
      </c>
      <c r="P50" s="36">
        <v>112.2</v>
      </c>
      <c r="Q50" s="36">
        <v>112.8</v>
      </c>
      <c r="R50" s="36">
        <v>113.6</v>
      </c>
      <c r="S50" s="36">
        <v>114</v>
      </c>
      <c r="T50" s="36">
        <v>114.2</v>
      </c>
      <c r="U50" s="36">
        <v>114.6</v>
      </c>
      <c r="V50" s="36">
        <v>115.4</v>
      </c>
      <c r="W50" s="36">
        <v>116.3</v>
      </c>
      <c r="X50" s="36">
        <v>117.3</v>
      </c>
      <c r="Y50" s="36">
        <v>118</v>
      </c>
      <c r="Z50" s="36">
        <v>118.8</v>
      </c>
      <c r="AA50" s="36">
        <v>119.5</v>
      </c>
      <c r="AB50" s="36">
        <v>120</v>
      </c>
      <c r="AC50" s="36">
        <v>120.8</v>
      </c>
      <c r="AD50" s="36">
        <v>121.7</v>
      </c>
      <c r="AE50" s="36">
        <v>122.7</v>
      </c>
      <c r="AF50" s="36">
        <v>124.2</v>
      </c>
      <c r="AG50" s="36">
        <v>124.7</v>
      </c>
      <c r="AH50" s="36">
        <v>125.7</v>
      </c>
      <c r="AI50" s="36">
        <v>126.7</v>
      </c>
      <c r="AJ50" s="36">
        <v>128.19999999999999</v>
      </c>
      <c r="AK50" s="36">
        <v>129.4</v>
      </c>
      <c r="AL50" s="36">
        <v>130.1</v>
      </c>
      <c r="AM50" s="36">
        <v>131</v>
      </c>
      <c r="AN50" s="36">
        <v>131.5</v>
      </c>
      <c r="AO50" s="36">
        <v>132.19999999999999</v>
      </c>
      <c r="AP50" s="36">
        <v>133.1</v>
      </c>
      <c r="AQ50" s="36">
        <v>133.6</v>
      </c>
      <c r="AR50" s="36">
        <v>134.4</v>
      </c>
      <c r="AS50" s="36">
        <v>135</v>
      </c>
      <c r="AT50" s="36">
        <v>135.5</v>
      </c>
      <c r="AU50" s="36">
        <v>136</v>
      </c>
      <c r="AV50" s="36">
        <v>137.19999999999999</v>
      </c>
      <c r="AW50" s="36">
        <v>138</v>
      </c>
      <c r="AX50" s="36">
        <v>138.9</v>
      </c>
      <c r="AY50" s="36">
        <v>139.9</v>
      </c>
      <c r="AZ50" s="36">
        <v>140.9</v>
      </c>
      <c r="BA50" s="36">
        <v>141.19999999999999</v>
      </c>
      <c r="BB50" s="36">
        <v>142.4</v>
      </c>
      <c r="BC50" s="36">
        <v>143.1</v>
      </c>
      <c r="BD50" s="36">
        <v>143.69999999999999</v>
      </c>
      <c r="BE50" s="36">
        <v>144.19999999999999</v>
      </c>
      <c r="BF50" s="36">
        <v>144.4</v>
      </c>
      <c r="BG50" s="36">
        <v>145.5</v>
      </c>
      <c r="BH50" s="36">
        <v>145.80000000000001</v>
      </c>
      <c r="BI50" s="36">
        <v>147.4</v>
      </c>
      <c r="BJ50" s="36">
        <v>149</v>
      </c>
      <c r="BK50" s="36">
        <v>149.80000000000001</v>
      </c>
      <c r="BL50" s="36">
        <v>150.5</v>
      </c>
      <c r="BM50" s="36">
        <v>152.1</v>
      </c>
      <c r="BN50" s="36">
        <v>153.19999999999999</v>
      </c>
      <c r="BO50" s="36">
        <v>153.6</v>
      </c>
      <c r="BP50" s="36">
        <v>153.30000000000001</v>
      </c>
      <c r="BQ50" s="36">
        <v>155.1</v>
      </c>
      <c r="BR50" s="36">
        <v>156.1</v>
      </c>
      <c r="BS50" s="36">
        <v>157</v>
      </c>
      <c r="BT50" s="36">
        <v>157.30000000000001</v>
      </c>
      <c r="BU50" s="36">
        <v>156.1</v>
      </c>
      <c r="BV50" s="36">
        <v>156.4</v>
      </c>
      <c r="BW50" s="36">
        <v>157.69999999999999</v>
      </c>
      <c r="BX50" s="36">
        <v>159.6</v>
      </c>
      <c r="BY50" s="36">
        <v>161.9</v>
      </c>
      <c r="BZ50" s="36">
        <v>162.4</v>
      </c>
      <c r="CA50" s="36">
        <v>162.69999999999999</v>
      </c>
      <c r="CB50" s="36">
        <v>162.80000000000001</v>
      </c>
      <c r="CC50" s="36">
        <v>162.9</v>
      </c>
      <c r="CD50" s="36">
        <v>163.10000000000002</v>
      </c>
      <c r="CE50" s="36">
        <v>163.30000000000001</v>
      </c>
      <c r="CF50" s="36">
        <v>164.2</v>
      </c>
      <c r="CG50" s="36">
        <v>164.5</v>
      </c>
      <c r="CH50" s="36">
        <v>165.1</v>
      </c>
      <c r="CI50" s="36">
        <v>165.7</v>
      </c>
      <c r="CJ50" s="36">
        <v>166.3</v>
      </c>
      <c r="CK50" s="36">
        <v>167.2</v>
      </c>
      <c r="CL50" s="36">
        <v>167.8</v>
      </c>
      <c r="CM50" s="36">
        <v>168.6</v>
      </c>
      <c r="CN50" s="36">
        <v>169.4</v>
      </c>
      <c r="CO50" s="36">
        <v>170.5</v>
      </c>
      <c r="CP50" s="36">
        <v>174.46666666666667</v>
      </c>
      <c r="CQ50" s="36">
        <v>178.43333333333334</v>
      </c>
      <c r="CR50" s="36">
        <v>182.4</v>
      </c>
      <c r="CS50" s="36">
        <v>182.4</v>
      </c>
      <c r="CT50" s="36">
        <v>180.9</v>
      </c>
      <c r="CU50" s="36">
        <v>182.9</v>
      </c>
      <c r="CV50" s="36">
        <v>182.7</v>
      </c>
      <c r="CW50" s="36">
        <v>183.4</v>
      </c>
      <c r="CX50" s="36">
        <v>183.6</v>
      </c>
      <c r="CY50" s="36">
        <v>184.6</v>
      </c>
      <c r="CZ50" s="36">
        <v>186.5</v>
      </c>
      <c r="DA50" s="36">
        <v>186.1</v>
      </c>
      <c r="DB50" s="36">
        <v>186.8</v>
      </c>
      <c r="DC50" s="36">
        <v>189.6</v>
      </c>
      <c r="DD50" s="36">
        <v>189.1</v>
      </c>
      <c r="DE50" s="36">
        <v>189.7</v>
      </c>
      <c r="DF50" s="36">
        <v>190.2</v>
      </c>
      <c r="DG50" s="36">
        <v>190.5</v>
      </c>
      <c r="DH50" s="36">
        <v>191.2</v>
      </c>
      <c r="DI50" s="36">
        <v>191.4</v>
      </c>
      <c r="DJ50" s="36">
        <v>190.8</v>
      </c>
      <c r="DK50" s="36">
        <v>190.7</v>
      </c>
      <c r="DL50" s="36">
        <v>191.5</v>
      </c>
      <c r="DM50" s="36">
        <v>192.3</v>
      </c>
      <c r="DN50" s="36">
        <v>192.8</v>
      </c>
      <c r="DO50" s="36">
        <v>192.9</v>
      </c>
      <c r="DP50" s="36">
        <v>192.9</v>
      </c>
      <c r="DQ50" s="36">
        <v>193.2</v>
      </c>
      <c r="DR50" s="36">
        <v>193.7</v>
      </c>
      <c r="DS50" s="36">
        <v>194.5</v>
      </c>
      <c r="DT50" s="36">
        <v>194.9</v>
      </c>
      <c r="DU50" s="36">
        <v>195.5</v>
      </c>
      <c r="DV50" s="36">
        <v>195.9</v>
      </c>
      <c r="DW50" s="36">
        <v>196.9</v>
      </c>
      <c r="DX50" s="36">
        <v>198.3</v>
      </c>
      <c r="DY50" s="36">
        <v>198.4</v>
      </c>
      <c r="DZ50" s="36">
        <v>199.5</v>
      </c>
      <c r="EA50" s="36">
        <v>199.9</v>
      </c>
    </row>
    <row r="51" spans="4:131" x14ac:dyDescent="0.35">
      <c r="D51" s="49" t="s">
        <v>17</v>
      </c>
      <c r="E51" s="36" t="s">
        <v>61</v>
      </c>
      <c r="F51" s="36" t="s">
        <v>101</v>
      </c>
      <c r="G51" s="36">
        <v>106.5</v>
      </c>
      <c r="H51" s="36">
        <v>107.1</v>
      </c>
      <c r="I51" s="36">
        <v>107.6</v>
      </c>
      <c r="J51" s="36">
        <v>108.1</v>
      </c>
      <c r="K51" s="36">
        <v>108.8</v>
      </c>
      <c r="L51" s="36">
        <v>109.7</v>
      </c>
      <c r="M51" s="36">
        <v>110.5</v>
      </c>
      <c r="N51" s="36">
        <v>111.3</v>
      </c>
      <c r="O51" s="36">
        <v>112.7</v>
      </c>
      <c r="P51" s="36">
        <v>113.6</v>
      </c>
      <c r="Q51" s="36">
        <v>114.6</v>
      </c>
      <c r="R51" s="36">
        <v>115.8</v>
      </c>
      <c r="S51" s="36">
        <v>116.5</v>
      </c>
      <c r="T51" s="36">
        <v>117.1</v>
      </c>
      <c r="U51" s="36">
        <v>117.5</v>
      </c>
      <c r="V51" s="36">
        <v>118.1</v>
      </c>
      <c r="W51" s="36">
        <v>118.7</v>
      </c>
      <c r="X51" s="36">
        <v>119.7</v>
      </c>
      <c r="Y51" s="36">
        <v>120.7</v>
      </c>
      <c r="Z51" s="36">
        <v>120.9</v>
      </c>
      <c r="AA51" s="36">
        <v>121.7</v>
      </c>
      <c r="AB51" s="36">
        <v>122.7</v>
      </c>
      <c r="AC51" s="36">
        <v>123.3</v>
      </c>
      <c r="AD51" s="36">
        <v>123.8</v>
      </c>
      <c r="AE51" s="36">
        <v>124.4</v>
      </c>
      <c r="AF51" s="36">
        <v>125.4</v>
      </c>
      <c r="AG51" s="36">
        <v>126</v>
      </c>
      <c r="AH51" s="36">
        <v>126.4</v>
      </c>
      <c r="AI51" s="36">
        <v>127.3</v>
      </c>
      <c r="AJ51" s="36">
        <v>128.4</v>
      </c>
      <c r="AK51" s="36">
        <v>128.80000000000001</v>
      </c>
      <c r="AL51" s="36">
        <v>129.5</v>
      </c>
      <c r="AM51" s="36">
        <v>130.4</v>
      </c>
      <c r="AN51" s="36">
        <v>131.1</v>
      </c>
      <c r="AO51" s="36">
        <v>132.1</v>
      </c>
      <c r="AP51" s="36">
        <v>132.5</v>
      </c>
      <c r="AQ51" s="36">
        <v>133.19999999999999</v>
      </c>
      <c r="AR51" s="36">
        <v>133.9</v>
      </c>
      <c r="AS51" s="36">
        <v>134.4</v>
      </c>
      <c r="AT51" s="36">
        <v>135</v>
      </c>
      <c r="AU51" s="36">
        <v>135.4</v>
      </c>
      <c r="AV51" s="36">
        <v>136.30000000000001</v>
      </c>
      <c r="AW51" s="36">
        <v>137.19999999999999</v>
      </c>
      <c r="AX51" s="36">
        <v>137.80000000000001</v>
      </c>
      <c r="AY51" s="36">
        <v>138.5</v>
      </c>
      <c r="AZ51" s="36">
        <v>139.6</v>
      </c>
      <c r="BA51" s="36">
        <v>139.9</v>
      </c>
      <c r="BB51" s="36">
        <v>140.4</v>
      </c>
      <c r="BC51" s="36">
        <v>140.69999999999999</v>
      </c>
      <c r="BD51" s="36">
        <v>140.9</v>
      </c>
      <c r="BE51" s="36">
        <v>141.6</v>
      </c>
      <c r="BF51" s="36">
        <v>142.4</v>
      </c>
      <c r="BG51" s="36">
        <v>142.5</v>
      </c>
      <c r="BH51" s="36">
        <v>143.1</v>
      </c>
      <c r="BI51" s="36">
        <v>144.30000000000001</v>
      </c>
      <c r="BJ51" s="36">
        <v>145.30000000000001</v>
      </c>
      <c r="BK51" s="36">
        <v>146.1</v>
      </c>
      <c r="BL51" s="36">
        <v>147.19999999999999</v>
      </c>
      <c r="BM51" s="36">
        <v>148.19999999999999</v>
      </c>
      <c r="BN51" s="36">
        <v>148</v>
      </c>
      <c r="BO51" s="36">
        <v>148.30000000000001</v>
      </c>
      <c r="BP51" s="36">
        <v>148.69999999999999</v>
      </c>
      <c r="BQ51" s="36">
        <v>149.19999999999999</v>
      </c>
      <c r="BR51" s="36">
        <v>150.1</v>
      </c>
      <c r="BS51" s="36">
        <v>150.80000000000001</v>
      </c>
      <c r="BT51" s="36">
        <v>151.30000000000001</v>
      </c>
      <c r="BU51" s="36">
        <v>151.5</v>
      </c>
      <c r="BV51" s="36">
        <v>152.1</v>
      </c>
      <c r="BW51" s="36">
        <v>152.1</v>
      </c>
      <c r="BX51" s="36">
        <v>150.69999999999999</v>
      </c>
      <c r="BY51" s="36">
        <v>151.69999999999999</v>
      </c>
      <c r="BZ51" s="36">
        <v>151.6</v>
      </c>
      <c r="CA51" s="36">
        <v>150.6</v>
      </c>
      <c r="CB51" s="36">
        <v>150.5</v>
      </c>
      <c r="CC51" s="36">
        <v>150.80000000000001</v>
      </c>
      <c r="CD51" s="36">
        <v>151.05000000000001</v>
      </c>
      <c r="CE51" s="36">
        <v>151.30000000000001</v>
      </c>
      <c r="CF51" s="36">
        <v>151.4</v>
      </c>
      <c r="CG51" s="36">
        <v>151.6</v>
      </c>
      <c r="CH51" s="36">
        <v>151.80000000000001</v>
      </c>
      <c r="CI51" s="36">
        <v>151.69999999999999</v>
      </c>
      <c r="CJ51" s="36">
        <v>151.69999999999999</v>
      </c>
      <c r="CK51" s="36">
        <v>152.30000000000001</v>
      </c>
      <c r="CL51" s="36">
        <v>152.6</v>
      </c>
      <c r="CM51" s="36">
        <v>152.80000000000001</v>
      </c>
      <c r="CN51" s="36">
        <v>153</v>
      </c>
      <c r="CO51" s="36">
        <v>153.4</v>
      </c>
      <c r="CP51" s="36">
        <v>153.83333333333334</v>
      </c>
      <c r="CQ51" s="36">
        <v>154.26666666666665</v>
      </c>
      <c r="CR51" s="36">
        <v>154.69999999999999</v>
      </c>
      <c r="CS51" s="36">
        <v>154.69999999999999</v>
      </c>
      <c r="CT51" s="36">
        <v>155.1</v>
      </c>
      <c r="CU51" s="36">
        <v>155.4</v>
      </c>
      <c r="CV51" s="36">
        <v>155.69999999999999</v>
      </c>
      <c r="CW51" s="36">
        <v>156.30000000000001</v>
      </c>
      <c r="CX51" s="36">
        <v>157</v>
      </c>
      <c r="CY51" s="36">
        <v>157.5</v>
      </c>
      <c r="CZ51" s="36">
        <v>159.1</v>
      </c>
      <c r="DA51" s="36">
        <v>159.6</v>
      </c>
      <c r="DB51" s="36">
        <v>160.69999999999999</v>
      </c>
      <c r="DC51" s="36">
        <v>165.3</v>
      </c>
      <c r="DD51" s="36">
        <v>165.3</v>
      </c>
      <c r="DE51" s="36">
        <v>166</v>
      </c>
      <c r="DF51" s="36">
        <v>167</v>
      </c>
      <c r="DG51" s="36">
        <v>167.7</v>
      </c>
      <c r="DH51" s="36">
        <v>168.9</v>
      </c>
      <c r="DI51" s="36">
        <v>170.4</v>
      </c>
      <c r="DJ51" s="36">
        <v>171.8</v>
      </c>
      <c r="DK51" s="36">
        <v>173.2</v>
      </c>
      <c r="DL51" s="36">
        <v>174.1</v>
      </c>
      <c r="DM51" s="36">
        <v>175.4</v>
      </c>
      <c r="DN51" s="36">
        <v>177.5</v>
      </c>
      <c r="DO51" s="36">
        <v>179.3</v>
      </c>
      <c r="DP51" s="36">
        <v>180.7</v>
      </c>
      <c r="DQ51" s="36">
        <v>182</v>
      </c>
      <c r="DR51" s="36">
        <v>183.2</v>
      </c>
      <c r="DS51" s="36">
        <v>184.7</v>
      </c>
      <c r="DT51" s="36">
        <v>186.1</v>
      </c>
      <c r="DU51" s="36">
        <v>187.2</v>
      </c>
      <c r="DV51" s="36">
        <v>188.1</v>
      </c>
      <c r="DW51" s="36">
        <v>189</v>
      </c>
      <c r="DX51" s="36">
        <v>190</v>
      </c>
      <c r="DY51" s="36">
        <v>190</v>
      </c>
      <c r="DZ51" s="36">
        <v>190.7</v>
      </c>
      <c r="EA51" s="36">
        <v>191.2</v>
      </c>
    </row>
    <row r="52" spans="4:131" x14ac:dyDescent="0.35">
      <c r="D52" s="49" t="s">
        <v>18</v>
      </c>
      <c r="E52" s="36" t="s">
        <v>61</v>
      </c>
      <c r="F52" s="36" t="s">
        <v>101</v>
      </c>
      <c r="G52" s="36">
        <v>105.8</v>
      </c>
      <c r="H52" s="36">
        <v>106.3</v>
      </c>
      <c r="I52" s="36">
        <v>106.8</v>
      </c>
      <c r="J52" s="36">
        <v>107.4</v>
      </c>
      <c r="K52" s="36">
        <v>107.9</v>
      </c>
      <c r="L52" s="36">
        <v>108.8</v>
      </c>
      <c r="M52" s="36">
        <v>109.5</v>
      </c>
      <c r="N52" s="36">
        <v>110.2</v>
      </c>
      <c r="O52" s="36">
        <v>111.4</v>
      </c>
      <c r="P52" s="36">
        <v>112.3</v>
      </c>
      <c r="Q52" s="36">
        <v>113.1</v>
      </c>
      <c r="R52" s="36">
        <v>114</v>
      </c>
      <c r="S52" s="36">
        <v>114.5</v>
      </c>
      <c r="T52" s="36">
        <v>114.5</v>
      </c>
      <c r="U52" s="36">
        <v>114.9</v>
      </c>
      <c r="V52" s="36">
        <v>116.1</v>
      </c>
      <c r="W52" s="36">
        <v>116.8</v>
      </c>
      <c r="X52" s="36">
        <v>117.3</v>
      </c>
      <c r="Y52" s="36">
        <v>118.3</v>
      </c>
      <c r="Z52" s="36">
        <v>118.8</v>
      </c>
      <c r="AA52" s="36">
        <v>119.2</v>
      </c>
      <c r="AB52" s="36">
        <v>120.3</v>
      </c>
      <c r="AC52" s="36">
        <v>120.5</v>
      </c>
      <c r="AD52" s="36">
        <v>120.6</v>
      </c>
      <c r="AE52" s="36">
        <v>121.6</v>
      </c>
      <c r="AF52" s="36">
        <v>122.7</v>
      </c>
      <c r="AG52" s="36">
        <v>122.9</v>
      </c>
      <c r="AH52" s="36">
        <v>123.3</v>
      </c>
      <c r="AI52" s="36">
        <v>124.1</v>
      </c>
      <c r="AJ52" s="36">
        <v>125.1</v>
      </c>
      <c r="AK52" s="36">
        <v>125.5</v>
      </c>
      <c r="AL52" s="36">
        <v>126.3</v>
      </c>
      <c r="AM52" s="36">
        <v>126.8</v>
      </c>
      <c r="AN52" s="36">
        <v>127.3</v>
      </c>
      <c r="AO52" s="36">
        <v>128.19999999999999</v>
      </c>
      <c r="AP52" s="36">
        <v>128.5</v>
      </c>
      <c r="AQ52" s="36">
        <v>128.9</v>
      </c>
      <c r="AR52" s="36">
        <v>129.80000000000001</v>
      </c>
      <c r="AS52" s="36">
        <v>130.19999999999999</v>
      </c>
      <c r="AT52" s="36">
        <v>130.6</v>
      </c>
      <c r="AU52" s="36">
        <v>131.1</v>
      </c>
      <c r="AV52" s="36">
        <v>131.6</v>
      </c>
      <c r="AW52" s="36">
        <v>132.19999999999999</v>
      </c>
      <c r="AX52" s="36">
        <v>133</v>
      </c>
      <c r="AY52" s="36">
        <v>133.5</v>
      </c>
      <c r="AZ52" s="36">
        <v>134.30000000000001</v>
      </c>
      <c r="BA52" s="36">
        <v>134.5</v>
      </c>
      <c r="BB52" s="36">
        <v>135.19999999999999</v>
      </c>
      <c r="BC52" s="36">
        <v>135.80000000000001</v>
      </c>
      <c r="BD52" s="36">
        <v>135.80000000000001</v>
      </c>
      <c r="BE52" s="36">
        <v>136.19999999999999</v>
      </c>
      <c r="BF52" s="36">
        <v>136.80000000000001</v>
      </c>
      <c r="BG52" s="36">
        <v>137.30000000000001</v>
      </c>
      <c r="BH52" s="36">
        <v>137.69999999999999</v>
      </c>
      <c r="BI52" s="36">
        <v>138.1</v>
      </c>
      <c r="BJ52" s="36">
        <v>139.19999999999999</v>
      </c>
      <c r="BK52" s="36">
        <v>139.69999999999999</v>
      </c>
      <c r="BL52" s="36">
        <v>140.6</v>
      </c>
      <c r="BM52" s="36">
        <v>141.5</v>
      </c>
      <c r="BN52" s="36">
        <v>141.9</v>
      </c>
      <c r="BO52" s="36">
        <v>142.30000000000001</v>
      </c>
      <c r="BP52" s="36">
        <v>142.4</v>
      </c>
      <c r="BQ52" s="36">
        <v>143</v>
      </c>
      <c r="BR52" s="36">
        <v>143.30000000000001</v>
      </c>
      <c r="BS52" s="36">
        <v>144.1</v>
      </c>
      <c r="BT52" s="36">
        <v>144.69999999999999</v>
      </c>
      <c r="BU52" s="36">
        <v>145.1</v>
      </c>
      <c r="BV52" s="36">
        <v>145.80000000000001</v>
      </c>
      <c r="BW52" s="36">
        <v>146.1</v>
      </c>
      <c r="BX52" s="36">
        <v>144.5</v>
      </c>
      <c r="BY52" s="36">
        <v>145.5</v>
      </c>
      <c r="BZ52" s="36">
        <v>145.9</v>
      </c>
      <c r="CA52" s="36">
        <v>145.1</v>
      </c>
      <c r="CB52" s="36">
        <v>146.1</v>
      </c>
      <c r="CC52" s="36">
        <v>146.1</v>
      </c>
      <c r="CD52" s="36">
        <v>146.35</v>
      </c>
      <c r="CE52" s="36">
        <v>146.6</v>
      </c>
      <c r="CF52" s="36">
        <v>146.5</v>
      </c>
      <c r="CG52" s="36">
        <v>146.6</v>
      </c>
      <c r="CH52" s="36">
        <v>146.6</v>
      </c>
      <c r="CI52" s="36">
        <v>146.6</v>
      </c>
      <c r="CJ52" s="36">
        <v>146.69999999999999</v>
      </c>
      <c r="CK52" s="36">
        <v>147</v>
      </c>
      <c r="CL52" s="36">
        <v>147.30000000000001</v>
      </c>
      <c r="CM52" s="36">
        <v>147.4</v>
      </c>
      <c r="CN52" s="36">
        <v>147.5</v>
      </c>
      <c r="CO52" s="36">
        <v>147.6</v>
      </c>
      <c r="CP52" s="36">
        <v>148.4</v>
      </c>
      <c r="CQ52" s="36">
        <v>149.19999999999999</v>
      </c>
      <c r="CR52" s="36">
        <v>150</v>
      </c>
      <c r="CS52" s="36">
        <v>150</v>
      </c>
      <c r="CT52" s="36">
        <v>149.30000000000001</v>
      </c>
      <c r="CU52" s="36">
        <v>149.9</v>
      </c>
      <c r="CV52" s="36">
        <v>150.6</v>
      </c>
      <c r="CW52" s="36">
        <v>151</v>
      </c>
      <c r="CX52" s="36">
        <v>151.6</v>
      </c>
      <c r="CY52" s="36">
        <v>152.4</v>
      </c>
      <c r="CZ52" s="36">
        <v>153.9</v>
      </c>
      <c r="DA52" s="36">
        <v>154.4</v>
      </c>
      <c r="DB52" s="36">
        <v>155.1</v>
      </c>
      <c r="DC52" s="36">
        <v>160.6</v>
      </c>
      <c r="DD52" s="36">
        <v>159.9</v>
      </c>
      <c r="DE52" s="36">
        <v>161.1</v>
      </c>
      <c r="DF52" s="36">
        <v>162.6</v>
      </c>
      <c r="DG52" s="36">
        <v>163.6</v>
      </c>
      <c r="DH52" s="36">
        <v>164.8</v>
      </c>
      <c r="DI52" s="36">
        <v>166</v>
      </c>
      <c r="DJ52" s="36">
        <v>167.3</v>
      </c>
      <c r="DK52" s="36">
        <v>169.3</v>
      </c>
      <c r="DL52" s="36">
        <v>171</v>
      </c>
      <c r="DM52" s="36">
        <v>173.2</v>
      </c>
      <c r="DN52" s="36">
        <v>175.1</v>
      </c>
      <c r="DO52" s="36">
        <v>177.2</v>
      </c>
      <c r="DP52" s="36">
        <v>178.7</v>
      </c>
      <c r="DQ52" s="36">
        <v>180.3</v>
      </c>
      <c r="DR52" s="36">
        <v>181.7</v>
      </c>
      <c r="DS52" s="36">
        <v>183.3</v>
      </c>
      <c r="DT52" s="36">
        <v>184.4</v>
      </c>
      <c r="DU52" s="36">
        <v>185.2</v>
      </c>
      <c r="DV52" s="36">
        <v>185.9</v>
      </c>
      <c r="DW52" s="36">
        <v>186.3</v>
      </c>
      <c r="DX52" s="36">
        <v>187</v>
      </c>
      <c r="DY52" s="36">
        <v>187</v>
      </c>
      <c r="DZ52" s="36">
        <v>187.3</v>
      </c>
      <c r="EA52" s="36">
        <v>187.9</v>
      </c>
    </row>
    <row r="53" spans="4:131" x14ac:dyDescent="0.35">
      <c r="D53" s="49" t="s">
        <v>19</v>
      </c>
      <c r="E53" s="36" t="s">
        <v>61</v>
      </c>
      <c r="F53" s="36" t="s">
        <v>101</v>
      </c>
      <c r="G53" s="36">
        <v>106.4</v>
      </c>
      <c r="H53" s="36">
        <v>107</v>
      </c>
      <c r="I53" s="36">
        <v>107.5</v>
      </c>
      <c r="J53" s="36">
        <v>108</v>
      </c>
      <c r="K53" s="36">
        <v>108.6</v>
      </c>
      <c r="L53" s="36">
        <v>109.5</v>
      </c>
      <c r="M53" s="36">
        <v>110.3</v>
      </c>
      <c r="N53" s="36">
        <v>111.1</v>
      </c>
      <c r="O53" s="36">
        <v>112.5</v>
      </c>
      <c r="P53" s="36">
        <v>113.4</v>
      </c>
      <c r="Q53" s="36">
        <v>114.4</v>
      </c>
      <c r="R53" s="36">
        <v>115.5</v>
      </c>
      <c r="S53" s="36">
        <v>116.2</v>
      </c>
      <c r="T53" s="36">
        <v>116.7</v>
      </c>
      <c r="U53" s="36">
        <v>117.2</v>
      </c>
      <c r="V53" s="36">
        <v>117.8</v>
      </c>
      <c r="W53" s="36">
        <v>118.5</v>
      </c>
      <c r="X53" s="36">
        <v>119.3</v>
      </c>
      <c r="Y53" s="36">
        <v>120.3</v>
      </c>
      <c r="Z53" s="36">
        <v>120.7</v>
      </c>
      <c r="AA53" s="36">
        <v>121.3</v>
      </c>
      <c r="AB53" s="36">
        <v>122.3</v>
      </c>
      <c r="AC53" s="36">
        <v>122.9</v>
      </c>
      <c r="AD53" s="36">
        <v>123.3</v>
      </c>
      <c r="AE53" s="36">
        <v>124</v>
      </c>
      <c r="AF53" s="36">
        <v>125</v>
      </c>
      <c r="AG53" s="36">
        <v>125.5</v>
      </c>
      <c r="AH53" s="36">
        <v>126</v>
      </c>
      <c r="AI53" s="36">
        <v>126.8</v>
      </c>
      <c r="AJ53" s="36">
        <v>128</v>
      </c>
      <c r="AK53" s="36">
        <v>128.30000000000001</v>
      </c>
      <c r="AL53" s="36">
        <v>129</v>
      </c>
      <c r="AM53" s="36">
        <v>129.9</v>
      </c>
      <c r="AN53" s="36">
        <v>130.6</v>
      </c>
      <c r="AO53" s="36">
        <v>131.5</v>
      </c>
      <c r="AP53" s="36">
        <v>131.9</v>
      </c>
      <c r="AQ53" s="36">
        <v>132.6</v>
      </c>
      <c r="AR53" s="36">
        <v>133.4</v>
      </c>
      <c r="AS53" s="36">
        <v>133.80000000000001</v>
      </c>
      <c r="AT53" s="36">
        <v>134.4</v>
      </c>
      <c r="AU53" s="36">
        <v>134.80000000000001</v>
      </c>
      <c r="AV53" s="36">
        <v>135.6</v>
      </c>
      <c r="AW53" s="36">
        <v>136.5</v>
      </c>
      <c r="AX53" s="36">
        <v>137.1</v>
      </c>
      <c r="AY53" s="36">
        <v>137.80000000000001</v>
      </c>
      <c r="AZ53" s="36">
        <v>138.80000000000001</v>
      </c>
      <c r="BA53" s="36">
        <v>139.19999999999999</v>
      </c>
      <c r="BB53" s="36">
        <v>139.69999999999999</v>
      </c>
      <c r="BC53" s="36">
        <v>140</v>
      </c>
      <c r="BD53" s="36">
        <v>140.19999999999999</v>
      </c>
      <c r="BE53" s="36">
        <v>140.80000000000001</v>
      </c>
      <c r="BF53" s="36">
        <v>141.6</v>
      </c>
      <c r="BG53" s="36">
        <v>141.80000000000001</v>
      </c>
      <c r="BH53" s="36">
        <v>142.30000000000001</v>
      </c>
      <c r="BI53" s="36">
        <v>143.5</v>
      </c>
      <c r="BJ53" s="36">
        <v>144.5</v>
      </c>
      <c r="BK53" s="36">
        <v>145.19999999999999</v>
      </c>
      <c r="BL53" s="36">
        <v>146.19999999999999</v>
      </c>
      <c r="BM53" s="36">
        <v>147.30000000000001</v>
      </c>
      <c r="BN53" s="36">
        <v>147.19999999999999</v>
      </c>
      <c r="BO53" s="36">
        <v>147.5</v>
      </c>
      <c r="BP53" s="36">
        <v>147.80000000000001</v>
      </c>
      <c r="BQ53" s="36">
        <v>148.30000000000001</v>
      </c>
      <c r="BR53" s="36">
        <v>149.1</v>
      </c>
      <c r="BS53" s="36">
        <v>149.80000000000001</v>
      </c>
      <c r="BT53" s="36">
        <v>150.30000000000001</v>
      </c>
      <c r="BU53" s="36">
        <v>150.6</v>
      </c>
      <c r="BV53" s="36">
        <v>151.30000000000001</v>
      </c>
      <c r="BW53" s="36">
        <v>151.30000000000001</v>
      </c>
      <c r="BX53" s="36">
        <v>149.80000000000001</v>
      </c>
      <c r="BY53" s="36">
        <v>150.80000000000001</v>
      </c>
      <c r="BZ53" s="36">
        <v>150.80000000000001</v>
      </c>
      <c r="CA53" s="36">
        <v>149.9</v>
      </c>
      <c r="CB53" s="36">
        <v>149.9</v>
      </c>
      <c r="CC53" s="36">
        <v>150.1</v>
      </c>
      <c r="CD53" s="36">
        <v>150.39999999999998</v>
      </c>
      <c r="CE53" s="36">
        <v>150.69999999999999</v>
      </c>
      <c r="CF53" s="36">
        <v>150.69999999999999</v>
      </c>
      <c r="CG53" s="36">
        <v>150.9</v>
      </c>
      <c r="CH53" s="36">
        <v>151.1</v>
      </c>
      <c r="CI53" s="36">
        <v>151</v>
      </c>
      <c r="CJ53" s="36">
        <v>151</v>
      </c>
      <c r="CK53" s="36">
        <v>151.5</v>
      </c>
      <c r="CL53" s="36">
        <v>151.9</v>
      </c>
      <c r="CM53" s="36">
        <v>152.1</v>
      </c>
      <c r="CN53" s="36">
        <v>152.30000000000001</v>
      </c>
      <c r="CO53" s="36">
        <v>152.5</v>
      </c>
      <c r="CP53" s="36">
        <v>153.03333333333333</v>
      </c>
      <c r="CQ53" s="36">
        <v>153.56666666666666</v>
      </c>
      <c r="CR53" s="36">
        <v>154.1</v>
      </c>
      <c r="CS53" s="36">
        <v>154.1</v>
      </c>
      <c r="CT53" s="36">
        <v>154.30000000000001</v>
      </c>
      <c r="CU53" s="36">
        <v>154.6</v>
      </c>
      <c r="CV53" s="36">
        <v>155</v>
      </c>
      <c r="CW53" s="36">
        <v>155.5</v>
      </c>
      <c r="CX53" s="36">
        <v>156.30000000000001</v>
      </c>
      <c r="CY53" s="36">
        <v>156.80000000000001</v>
      </c>
      <c r="CZ53" s="36">
        <v>158.4</v>
      </c>
      <c r="DA53" s="36">
        <v>158.9</v>
      </c>
      <c r="DB53" s="36">
        <v>159.9</v>
      </c>
      <c r="DC53" s="36">
        <v>164.5</v>
      </c>
      <c r="DD53" s="36">
        <v>164.6</v>
      </c>
      <c r="DE53" s="36">
        <v>165.3</v>
      </c>
      <c r="DF53" s="36">
        <v>166.3</v>
      </c>
      <c r="DG53" s="36">
        <v>167.1</v>
      </c>
      <c r="DH53" s="36">
        <v>168.3</v>
      </c>
      <c r="DI53" s="36">
        <v>169.8</v>
      </c>
      <c r="DJ53" s="36">
        <v>171.2</v>
      </c>
      <c r="DK53" s="36">
        <v>172.7</v>
      </c>
      <c r="DL53" s="36">
        <v>173.7</v>
      </c>
      <c r="DM53" s="36">
        <v>175.1</v>
      </c>
      <c r="DN53" s="36">
        <v>177.1</v>
      </c>
      <c r="DO53" s="36">
        <v>179</v>
      </c>
      <c r="DP53" s="36">
        <v>180.4</v>
      </c>
      <c r="DQ53" s="36">
        <v>181.7</v>
      </c>
      <c r="DR53" s="36">
        <v>183</v>
      </c>
      <c r="DS53" s="36">
        <v>184.5</v>
      </c>
      <c r="DT53" s="36">
        <v>185.9</v>
      </c>
      <c r="DU53" s="36">
        <v>186.9</v>
      </c>
      <c r="DV53" s="36">
        <v>187.8</v>
      </c>
      <c r="DW53" s="36">
        <v>188.6</v>
      </c>
      <c r="DX53" s="36">
        <v>189.6</v>
      </c>
      <c r="DY53" s="36">
        <v>189.6</v>
      </c>
      <c r="DZ53" s="36">
        <v>190.2</v>
      </c>
      <c r="EA53" s="36">
        <v>190.8</v>
      </c>
    </row>
    <row r="54" spans="4:131" x14ac:dyDescent="0.35">
      <c r="D54" s="49" t="s">
        <v>20</v>
      </c>
      <c r="E54" s="36" t="s">
        <v>63</v>
      </c>
      <c r="F54" s="36" t="s">
        <v>101</v>
      </c>
      <c r="G54" s="36" t="s">
        <v>32</v>
      </c>
      <c r="H54" s="36" t="s">
        <v>32</v>
      </c>
      <c r="I54" s="36" t="s">
        <v>32</v>
      </c>
      <c r="J54" s="36" t="s">
        <v>32</v>
      </c>
      <c r="K54" s="36" t="s">
        <v>32</v>
      </c>
      <c r="L54" s="36" t="s">
        <v>32</v>
      </c>
      <c r="M54" s="36" t="s">
        <v>32</v>
      </c>
      <c r="N54" s="36" t="s">
        <v>32</v>
      </c>
      <c r="O54" s="36" t="s">
        <v>32</v>
      </c>
      <c r="P54" s="36" t="s">
        <v>32</v>
      </c>
      <c r="Q54" s="36" t="s">
        <v>32</v>
      </c>
      <c r="R54" s="36" t="s">
        <v>32</v>
      </c>
      <c r="S54" s="36" t="s">
        <v>32</v>
      </c>
      <c r="T54" s="36" t="s">
        <v>32</v>
      </c>
      <c r="U54" s="36" t="s">
        <v>32</v>
      </c>
      <c r="V54" s="36" t="s">
        <v>32</v>
      </c>
      <c r="W54" s="36" t="s">
        <v>32</v>
      </c>
      <c r="X54" s="36" t="s">
        <v>32</v>
      </c>
      <c r="Y54" s="36" t="s">
        <v>32</v>
      </c>
      <c r="Z54" s="36" t="s">
        <v>32</v>
      </c>
      <c r="AA54" s="36" t="s">
        <v>32</v>
      </c>
      <c r="AB54" s="36" t="s">
        <v>32</v>
      </c>
      <c r="AC54" s="36" t="s">
        <v>32</v>
      </c>
      <c r="AD54" s="36" t="s">
        <v>32</v>
      </c>
      <c r="AE54" s="36" t="s">
        <v>32</v>
      </c>
      <c r="AF54" s="36" t="s">
        <v>32</v>
      </c>
      <c r="AG54" s="36" t="s">
        <v>32</v>
      </c>
      <c r="AH54" s="36" t="s">
        <v>32</v>
      </c>
      <c r="AI54" s="36" t="s">
        <v>32</v>
      </c>
      <c r="AJ54" s="36" t="s">
        <v>32</v>
      </c>
      <c r="AK54" s="36" t="s">
        <v>32</v>
      </c>
      <c r="AL54" s="36" t="s">
        <v>32</v>
      </c>
      <c r="AM54" s="36" t="s">
        <v>32</v>
      </c>
      <c r="AN54" s="36" t="s">
        <v>32</v>
      </c>
      <c r="AO54" s="36" t="s">
        <v>32</v>
      </c>
      <c r="AP54" s="36" t="s">
        <v>32</v>
      </c>
      <c r="AQ54" s="36" t="s">
        <v>32</v>
      </c>
      <c r="AR54" s="36" t="s">
        <v>32</v>
      </c>
      <c r="AS54" s="36" t="s">
        <v>32</v>
      </c>
      <c r="AT54" s="36" t="s">
        <v>32</v>
      </c>
      <c r="AU54" s="36" t="s">
        <v>32</v>
      </c>
      <c r="AV54" s="36" t="s">
        <v>32</v>
      </c>
      <c r="AW54" s="36" t="s">
        <v>32</v>
      </c>
      <c r="AX54" s="36" t="s">
        <v>32</v>
      </c>
      <c r="AY54" s="36" t="s">
        <v>32</v>
      </c>
      <c r="AZ54" s="36" t="s">
        <v>32</v>
      </c>
      <c r="BA54" s="36" t="s">
        <v>32</v>
      </c>
      <c r="BB54" s="36" t="s">
        <v>32</v>
      </c>
      <c r="BC54" s="36" t="s">
        <v>32</v>
      </c>
      <c r="BD54" s="36" t="s">
        <v>32</v>
      </c>
      <c r="BE54" s="36" t="s">
        <v>32</v>
      </c>
      <c r="BF54" s="36" t="s">
        <v>32</v>
      </c>
      <c r="BG54" s="36" t="s">
        <v>32</v>
      </c>
      <c r="BH54" s="36" t="s">
        <v>32</v>
      </c>
      <c r="BI54" s="36" t="s">
        <v>32</v>
      </c>
      <c r="BJ54" s="36" t="s">
        <v>32</v>
      </c>
      <c r="BK54" s="36" t="s">
        <v>32</v>
      </c>
      <c r="BL54" s="36" t="s">
        <v>32</v>
      </c>
      <c r="BM54" s="36" t="s">
        <v>32</v>
      </c>
      <c r="BN54" s="36" t="s">
        <v>32</v>
      </c>
      <c r="BO54" s="36" t="s">
        <v>32</v>
      </c>
      <c r="BP54" s="36" t="s">
        <v>32</v>
      </c>
      <c r="BQ54" s="36" t="s">
        <v>32</v>
      </c>
      <c r="BR54" s="36" t="s">
        <v>32</v>
      </c>
      <c r="BS54" s="36" t="s">
        <v>32</v>
      </c>
      <c r="BT54" s="36" t="s">
        <v>32</v>
      </c>
      <c r="BU54" s="36" t="s">
        <v>32</v>
      </c>
      <c r="BV54" s="36" t="s">
        <v>32</v>
      </c>
      <c r="BW54" s="36" t="s">
        <v>32</v>
      </c>
      <c r="BX54" s="36" t="s">
        <v>32</v>
      </c>
      <c r="BY54" s="36" t="s">
        <v>32</v>
      </c>
      <c r="BZ54" s="36" t="s">
        <v>32</v>
      </c>
      <c r="CA54" s="36" t="s">
        <v>32</v>
      </c>
      <c r="CB54" s="36" t="s">
        <v>32</v>
      </c>
      <c r="CC54" s="36" t="s">
        <v>32</v>
      </c>
      <c r="CD54" s="36" t="e">
        <v>#VALUE!</v>
      </c>
      <c r="CE54" s="36" t="s">
        <v>32</v>
      </c>
      <c r="CF54" s="36" t="s">
        <v>32</v>
      </c>
      <c r="CG54" s="36" t="s">
        <v>32</v>
      </c>
      <c r="CH54" s="36" t="s">
        <v>32</v>
      </c>
      <c r="CI54" s="36" t="s">
        <v>32</v>
      </c>
      <c r="CJ54" s="36" t="s">
        <v>32</v>
      </c>
      <c r="CK54" s="36" t="s">
        <v>32</v>
      </c>
      <c r="CL54" s="36" t="s">
        <v>32</v>
      </c>
      <c r="CM54" s="36" t="s">
        <v>32</v>
      </c>
      <c r="CN54" s="36" t="s">
        <v>32</v>
      </c>
      <c r="CO54" s="36" t="s">
        <v>32</v>
      </c>
      <c r="CP54" s="36" t="s">
        <v>32</v>
      </c>
      <c r="CQ54" s="36" t="s">
        <v>32</v>
      </c>
      <c r="CR54" s="36" t="s">
        <v>32</v>
      </c>
      <c r="CS54" s="36" t="s">
        <v>32</v>
      </c>
      <c r="CT54" s="36" t="s">
        <v>32</v>
      </c>
      <c r="CU54" s="36" t="s">
        <v>32</v>
      </c>
      <c r="CV54" s="36" t="s">
        <v>32</v>
      </c>
      <c r="CW54" s="36" t="s">
        <v>32</v>
      </c>
      <c r="CX54" s="36" t="s">
        <v>32</v>
      </c>
      <c r="CY54" s="36" t="s">
        <v>32</v>
      </c>
      <c r="CZ54" s="36" t="s">
        <v>32</v>
      </c>
      <c r="DA54" s="36" t="s">
        <v>48</v>
      </c>
      <c r="DB54" s="36" t="s">
        <v>48</v>
      </c>
      <c r="DC54" s="36" t="s">
        <v>32</v>
      </c>
      <c r="DD54" s="36" t="s">
        <v>32</v>
      </c>
      <c r="DE54" s="36" t="s">
        <v>32</v>
      </c>
      <c r="DF54" s="36" t="s">
        <v>32</v>
      </c>
      <c r="DG54" s="36" t="s">
        <v>32</v>
      </c>
      <c r="DH54" s="36" t="s">
        <v>32</v>
      </c>
      <c r="DI54" s="36" t="s">
        <v>32</v>
      </c>
      <c r="DJ54" s="36" t="s">
        <v>32</v>
      </c>
      <c r="DK54" s="36" t="s">
        <v>32</v>
      </c>
      <c r="DL54" s="36" t="s">
        <v>32</v>
      </c>
      <c r="DM54" s="36" t="s">
        <v>32</v>
      </c>
      <c r="DN54" s="36" t="s">
        <v>32</v>
      </c>
      <c r="DO54" s="36" t="s">
        <v>32</v>
      </c>
      <c r="DP54" s="36" t="s">
        <v>32</v>
      </c>
      <c r="DQ54" s="36" t="s">
        <v>32</v>
      </c>
      <c r="DR54" s="36" t="s">
        <v>32</v>
      </c>
      <c r="DS54" s="36" t="s">
        <v>32</v>
      </c>
      <c r="DT54" s="36" t="s">
        <v>32</v>
      </c>
      <c r="DU54" s="36" t="s">
        <v>32</v>
      </c>
      <c r="DV54" s="36" t="s">
        <v>32</v>
      </c>
      <c r="DW54" s="36" t="s">
        <v>32</v>
      </c>
      <c r="DX54" s="36" t="s">
        <v>32</v>
      </c>
      <c r="DY54" s="36" t="s">
        <v>32</v>
      </c>
      <c r="DZ54" s="36" t="s">
        <v>48</v>
      </c>
      <c r="EA54" s="36" t="s">
        <v>48</v>
      </c>
    </row>
    <row r="55" spans="4:131" x14ac:dyDescent="0.35">
      <c r="D55" s="49" t="s">
        <v>21</v>
      </c>
      <c r="E55" s="52" t="s">
        <v>62</v>
      </c>
      <c r="F55" s="36" t="s">
        <v>101</v>
      </c>
      <c r="G55" s="36">
        <v>105.5</v>
      </c>
      <c r="H55" s="36">
        <v>106.2</v>
      </c>
      <c r="I55" s="36">
        <v>106.1</v>
      </c>
      <c r="J55" s="36">
        <v>106.5</v>
      </c>
      <c r="K55" s="36">
        <v>107.5</v>
      </c>
      <c r="L55" s="36">
        <v>108.5</v>
      </c>
      <c r="M55" s="36">
        <v>109.5</v>
      </c>
      <c r="N55" s="36">
        <v>109.9</v>
      </c>
      <c r="O55" s="36">
        <v>111.1</v>
      </c>
      <c r="P55" s="36">
        <v>111.6</v>
      </c>
      <c r="Q55" s="36">
        <v>112.6</v>
      </c>
      <c r="R55" s="36">
        <v>112.8</v>
      </c>
      <c r="S55" s="36">
        <v>113</v>
      </c>
      <c r="T55" s="36">
        <v>113.2</v>
      </c>
      <c r="U55" s="36">
        <v>113.4</v>
      </c>
      <c r="V55" s="36">
        <v>113.4</v>
      </c>
      <c r="W55" s="36">
        <v>113.4</v>
      </c>
      <c r="X55" s="36">
        <v>114.4</v>
      </c>
      <c r="Y55" s="36">
        <v>115.3</v>
      </c>
      <c r="Z55" s="36">
        <v>115.4</v>
      </c>
      <c r="AA55" s="36">
        <v>115.8</v>
      </c>
      <c r="AB55" s="36">
        <v>116.4</v>
      </c>
      <c r="AC55" s="36">
        <v>117.3</v>
      </c>
      <c r="AD55" s="36">
        <v>117.4</v>
      </c>
      <c r="AE55" s="36">
        <v>118.4</v>
      </c>
      <c r="AF55" s="36">
        <v>120</v>
      </c>
      <c r="AG55" s="36">
        <v>120.6</v>
      </c>
      <c r="AH55" s="36">
        <v>121.2</v>
      </c>
      <c r="AI55" s="36">
        <v>121.9</v>
      </c>
      <c r="AJ55" s="36">
        <v>122.6</v>
      </c>
      <c r="AK55" s="36">
        <v>123</v>
      </c>
      <c r="AL55" s="36">
        <v>123.8</v>
      </c>
      <c r="AM55" s="36">
        <v>123.7</v>
      </c>
      <c r="AN55" s="36">
        <v>124.4</v>
      </c>
      <c r="AO55" s="36">
        <v>125.6</v>
      </c>
      <c r="AP55" s="36">
        <v>125.7</v>
      </c>
      <c r="AQ55" s="36">
        <v>126.2</v>
      </c>
      <c r="AR55" s="36">
        <v>127.5</v>
      </c>
      <c r="AS55" s="36">
        <v>127</v>
      </c>
      <c r="AT55" s="36">
        <v>127</v>
      </c>
      <c r="AU55" s="36">
        <v>127.4</v>
      </c>
      <c r="AV55" s="36">
        <v>128</v>
      </c>
      <c r="AW55" s="36">
        <v>128.19999999999999</v>
      </c>
      <c r="AX55" s="36">
        <v>129.1</v>
      </c>
      <c r="AY55" s="36">
        <v>129.69999999999999</v>
      </c>
      <c r="AZ55" s="36">
        <v>129.80000000000001</v>
      </c>
      <c r="BA55" s="36">
        <v>130.30000000000001</v>
      </c>
      <c r="BB55" s="36">
        <v>132</v>
      </c>
      <c r="BC55" s="36">
        <v>132.1</v>
      </c>
      <c r="BD55" s="36">
        <v>133.19999999999999</v>
      </c>
      <c r="BE55" s="36">
        <v>134.19999999999999</v>
      </c>
      <c r="BF55" s="36">
        <v>135</v>
      </c>
      <c r="BG55" s="36">
        <v>135</v>
      </c>
      <c r="BH55" s="36">
        <v>134.80000000000001</v>
      </c>
      <c r="BI55" s="36">
        <v>135.30000000000001</v>
      </c>
      <c r="BJ55" s="36">
        <v>136.4</v>
      </c>
      <c r="BK55" s="36">
        <v>137.4</v>
      </c>
      <c r="BL55" s="36">
        <v>138.1</v>
      </c>
      <c r="BM55" s="36">
        <v>141.1</v>
      </c>
      <c r="BN55" s="36">
        <v>142.6</v>
      </c>
      <c r="BO55" s="36">
        <v>142.30000000000001</v>
      </c>
      <c r="BP55" s="36">
        <v>142.4</v>
      </c>
      <c r="BQ55" s="36">
        <v>142.6</v>
      </c>
      <c r="BR55" s="36">
        <v>143.80000000000001</v>
      </c>
      <c r="BS55" s="36">
        <v>144.30000000000001</v>
      </c>
      <c r="BT55" s="36">
        <v>145.1</v>
      </c>
      <c r="BU55" s="36">
        <v>146.80000000000001</v>
      </c>
      <c r="BV55" s="36">
        <v>147.69999999999999</v>
      </c>
      <c r="BW55" s="36">
        <v>149</v>
      </c>
      <c r="BX55" s="36">
        <v>149.69999999999999</v>
      </c>
      <c r="BY55" s="36">
        <v>150.30000000000001</v>
      </c>
      <c r="BZ55" s="36">
        <v>149</v>
      </c>
      <c r="CA55" s="36">
        <v>146.19999999999999</v>
      </c>
      <c r="CB55" s="36">
        <v>145.30000000000001</v>
      </c>
      <c r="CC55" s="36">
        <v>146.4</v>
      </c>
      <c r="CD55" s="36">
        <v>146.65</v>
      </c>
      <c r="CE55" s="36">
        <v>146.9</v>
      </c>
      <c r="CF55" s="36">
        <v>147.80000000000001</v>
      </c>
      <c r="CG55" s="36">
        <v>146.80000000000001</v>
      </c>
      <c r="CH55" s="36">
        <v>146.4</v>
      </c>
      <c r="CI55" s="36">
        <v>146.9</v>
      </c>
      <c r="CJ55" s="36">
        <v>147.69999999999999</v>
      </c>
      <c r="CK55" s="36">
        <v>148.4</v>
      </c>
      <c r="CL55" s="36">
        <v>149.9</v>
      </c>
      <c r="CM55" s="36">
        <v>150.4</v>
      </c>
      <c r="CN55" s="36">
        <v>152.30000000000001</v>
      </c>
      <c r="CO55" s="36">
        <v>153.4</v>
      </c>
      <c r="CP55" s="36">
        <v>148.4</v>
      </c>
      <c r="CQ55" s="36">
        <v>146.65</v>
      </c>
      <c r="CR55" s="36">
        <v>144.9</v>
      </c>
      <c r="CS55" s="36">
        <v>144.9</v>
      </c>
      <c r="CT55" s="36">
        <v>145.80000000000001</v>
      </c>
      <c r="CU55" s="36">
        <v>146.4</v>
      </c>
      <c r="CV55" s="36">
        <v>146.80000000000001</v>
      </c>
      <c r="CW55" s="36">
        <v>147.5</v>
      </c>
      <c r="CX55" s="36">
        <v>148.69999999999999</v>
      </c>
      <c r="CY55" s="36">
        <v>150.9</v>
      </c>
      <c r="CZ55" s="36">
        <v>154.4</v>
      </c>
      <c r="DA55" s="36">
        <v>156</v>
      </c>
      <c r="DB55" s="36">
        <v>156</v>
      </c>
      <c r="DC55" s="36">
        <v>161.69999999999999</v>
      </c>
      <c r="DD55" s="36">
        <v>162.1</v>
      </c>
      <c r="DE55" s="36">
        <v>162.5</v>
      </c>
      <c r="DF55" s="36">
        <v>163.1</v>
      </c>
      <c r="DG55" s="36">
        <v>163.69999999999999</v>
      </c>
      <c r="DH55" s="36">
        <v>165.5</v>
      </c>
      <c r="DI55" s="36">
        <v>165.3</v>
      </c>
      <c r="DJ55" s="36">
        <v>165.6</v>
      </c>
      <c r="DK55" s="36">
        <v>165.8</v>
      </c>
      <c r="DL55" s="36">
        <v>167.4</v>
      </c>
      <c r="DM55" s="36">
        <v>168.9</v>
      </c>
      <c r="DN55" s="36">
        <v>173.3</v>
      </c>
      <c r="DO55" s="36">
        <v>175.3</v>
      </c>
      <c r="DP55" s="36">
        <v>176.7</v>
      </c>
      <c r="DQ55" s="36">
        <v>179.6</v>
      </c>
      <c r="DR55" s="36">
        <v>179.1</v>
      </c>
      <c r="DS55" s="36">
        <v>179.7</v>
      </c>
      <c r="DT55" s="36">
        <v>180.8</v>
      </c>
      <c r="DU55" s="36">
        <v>181.9</v>
      </c>
      <c r="DV55" s="36">
        <v>182.8</v>
      </c>
      <c r="DW55" s="36">
        <v>183.2</v>
      </c>
      <c r="DX55" s="36">
        <v>181.6</v>
      </c>
      <c r="DY55" s="36">
        <v>181.4</v>
      </c>
      <c r="DZ55" s="36">
        <v>181.5</v>
      </c>
      <c r="EA55" s="36">
        <v>182.5</v>
      </c>
    </row>
    <row r="56" spans="4:131" x14ac:dyDescent="0.35">
      <c r="D56" s="49" t="s">
        <v>22</v>
      </c>
      <c r="E56" s="52" t="s">
        <v>62</v>
      </c>
      <c r="F56" s="36" t="s">
        <v>101</v>
      </c>
      <c r="G56" s="36">
        <v>104.8</v>
      </c>
      <c r="H56" s="36">
        <v>105.2</v>
      </c>
      <c r="I56" s="36">
        <v>105.6</v>
      </c>
      <c r="J56" s="36">
        <v>106.1</v>
      </c>
      <c r="K56" s="36">
        <v>106.8</v>
      </c>
      <c r="L56" s="36">
        <v>107.5</v>
      </c>
      <c r="M56" s="36">
        <v>108.3</v>
      </c>
      <c r="N56" s="36">
        <v>108.7</v>
      </c>
      <c r="O56" s="36">
        <v>109.6</v>
      </c>
      <c r="P56" s="36">
        <v>110.4</v>
      </c>
      <c r="Q56" s="36">
        <v>111.3</v>
      </c>
      <c r="R56" s="36">
        <v>112.1</v>
      </c>
      <c r="S56" s="36">
        <v>112.6</v>
      </c>
      <c r="T56" s="36">
        <v>112.9</v>
      </c>
      <c r="U56" s="36">
        <v>113.4</v>
      </c>
      <c r="V56" s="36">
        <v>113.7</v>
      </c>
      <c r="W56" s="36">
        <v>114.1</v>
      </c>
      <c r="X56" s="36">
        <v>114.9</v>
      </c>
      <c r="Y56" s="36">
        <v>115.4</v>
      </c>
      <c r="Z56" s="36">
        <v>115.9</v>
      </c>
      <c r="AA56" s="36">
        <v>116.7</v>
      </c>
      <c r="AB56" s="36">
        <v>117.5</v>
      </c>
      <c r="AC56" s="36">
        <v>118.1</v>
      </c>
      <c r="AD56" s="36">
        <v>118.2</v>
      </c>
      <c r="AE56" s="36">
        <v>118.9</v>
      </c>
      <c r="AF56" s="36">
        <v>119.6</v>
      </c>
      <c r="AG56" s="36">
        <v>120.2</v>
      </c>
      <c r="AH56" s="36">
        <v>120.9</v>
      </c>
      <c r="AI56" s="36">
        <v>121.5</v>
      </c>
      <c r="AJ56" s="36">
        <v>122.8</v>
      </c>
      <c r="AK56" s="36">
        <v>123</v>
      </c>
      <c r="AL56" s="36">
        <v>123.7</v>
      </c>
      <c r="AM56" s="36">
        <v>124.5</v>
      </c>
      <c r="AN56" s="36">
        <v>125.1</v>
      </c>
      <c r="AO56" s="36">
        <v>125.6</v>
      </c>
      <c r="AP56" s="36">
        <v>126</v>
      </c>
      <c r="AQ56" s="36">
        <v>126.6</v>
      </c>
      <c r="AR56" s="36">
        <v>127.1</v>
      </c>
      <c r="AS56" s="36">
        <v>127.7</v>
      </c>
      <c r="AT56" s="36">
        <v>128</v>
      </c>
      <c r="AU56" s="36">
        <v>128.5</v>
      </c>
      <c r="AV56" s="36">
        <v>129.30000000000001</v>
      </c>
      <c r="AW56" s="36">
        <v>130</v>
      </c>
      <c r="AX56" s="36">
        <v>130.6</v>
      </c>
      <c r="AY56" s="36">
        <v>131.1</v>
      </c>
      <c r="AZ56" s="36">
        <v>131.80000000000001</v>
      </c>
      <c r="BA56" s="36">
        <v>132.1</v>
      </c>
      <c r="BB56" s="36">
        <v>132.9</v>
      </c>
      <c r="BC56" s="36">
        <v>133.19999999999999</v>
      </c>
      <c r="BD56" s="36">
        <v>133.6</v>
      </c>
      <c r="BE56" s="36">
        <v>134.1</v>
      </c>
      <c r="BF56" s="36">
        <v>134.30000000000001</v>
      </c>
      <c r="BG56" s="36">
        <v>134.9</v>
      </c>
      <c r="BH56" s="36">
        <v>135.19999999999999</v>
      </c>
      <c r="BI56" s="36">
        <v>136.1</v>
      </c>
      <c r="BJ56" s="36">
        <v>137.30000000000001</v>
      </c>
      <c r="BK56" s="36">
        <v>137.9</v>
      </c>
      <c r="BL56" s="36">
        <v>138.4</v>
      </c>
      <c r="BM56" s="36">
        <v>139.4</v>
      </c>
      <c r="BN56" s="36">
        <v>139.5</v>
      </c>
      <c r="BO56" s="36">
        <v>139.80000000000001</v>
      </c>
      <c r="BP56" s="36">
        <v>139.9</v>
      </c>
      <c r="BQ56" s="36">
        <v>139.9</v>
      </c>
      <c r="BR56" s="36">
        <v>140.9</v>
      </c>
      <c r="BS56" s="36">
        <v>141.80000000000001</v>
      </c>
      <c r="BT56" s="36">
        <v>142.19999999999999</v>
      </c>
      <c r="BU56" s="36">
        <v>143.1</v>
      </c>
      <c r="BV56" s="36">
        <v>143.80000000000001</v>
      </c>
      <c r="BW56" s="36">
        <v>144</v>
      </c>
      <c r="BX56" s="36">
        <v>147.5</v>
      </c>
      <c r="BY56" s="36">
        <v>148</v>
      </c>
      <c r="BZ56" s="36">
        <v>149.5</v>
      </c>
      <c r="CA56" s="36">
        <v>150.1</v>
      </c>
      <c r="CB56" s="36">
        <v>150.1</v>
      </c>
      <c r="CC56" s="36">
        <v>150</v>
      </c>
      <c r="CD56" s="36">
        <v>149.75</v>
      </c>
      <c r="CE56" s="36">
        <v>149.5</v>
      </c>
      <c r="CF56" s="36">
        <v>149.6</v>
      </c>
      <c r="CG56" s="36">
        <v>150</v>
      </c>
      <c r="CH56" s="36">
        <v>150.19999999999999</v>
      </c>
      <c r="CI56" s="36">
        <v>150.30000000000001</v>
      </c>
      <c r="CJ56" s="36">
        <v>150.6</v>
      </c>
      <c r="CK56" s="36">
        <v>150.9</v>
      </c>
      <c r="CL56" s="36">
        <v>151.19999999999999</v>
      </c>
      <c r="CM56" s="36">
        <v>151.69999999999999</v>
      </c>
      <c r="CN56" s="36">
        <v>151.80000000000001</v>
      </c>
      <c r="CO56" s="36">
        <v>151.5</v>
      </c>
      <c r="CP56" s="36">
        <v>151.56666666666666</v>
      </c>
      <c r="CQ56" s="36">
        <v>151.63333333333333</v>
      </c>
      <c r="CR56" s="36">
        <v>151.69999999999999</v>
      </c>
      <c r="CS56" s="36">
        <v>151.69999999999999</v>
      </c>
      <c r="CT56" s="36">
        <v>151.9</v>
      </c>
      <c r="CU56" s="36">
        <v>151.6</v>
      </c>
      <c r="CV56" s="36">
        <v>152</v>
      </c>
      <c r="CW56" s="36">
        <v>152.80000000000001</v>
      </c>
      <c r="CX56" s="36">
        <v>153.4</v>
      </c>
      <c r="CY56" s="36">
        <v>153.9</v>
      </c>
      <c r="CZ56" s="36">
        <v>154.80000000000001</v>
      </c>
      <c r="DA56" s="36">
        <v>154.80000000000001</v>
      </c>
      <c r="DB56" s="36">
        <v>155.5</v>
      </c>
      <c r="DC56" s="36">
        <v>158.80000000000001</v>
      </c>
      <c r="DD56" s="36">
        <v>159.19999999999999</v>
      </c>
      <c r="DE56" s="36">
        <v>160.30000000000001</v>
      </c>
      <c r="DF56" s="36">
        <v>160.9</v>
      </c>
      <c r="DG56" s="36">
        <v>161.30000000000001</v>
      </c>
      <c r="DH56" s="36">
        <v>162</v>
      </c>
      <c r="DI56" s="36">
        <v>162.9</v>
      </c>
      <c r="DJ56" s="36">
        <v>163.9</v>
      </c>
      <c r="DK56" s="36">
        <v>164.9</v>
      </c>
      <c r="DL56" s="36">
        <v>165.7</v>
      </c>
      <c r="DM56" s="36">
        <v>166.5</v>
      </c>
      <c r="DN56" s="36">
        <v>167.7</v>
      </c>
      <c r="DO56" s="36">
        <v>168.9</v>
      </c>
      <c r="DP56" s="36">
        <v>170.3</v>
      </c>
      <c r="DQ56" s="36">
        <v>171.3</v>
      </c>
      <c r="DR56" s="36">
        <v>172.3</v>
      </c>
      <c r="DS56" s="36">
        <v>173.6</v>
      </c>
      <c r="DT56" s="36">
        <v>174.4</v>
      </c>
      <c r="DU56" s="36">
        <v>175.5</v>
      </c>
      <c r="DV56" s="36">
        <v>176.4</v>
      </c>
      <c r="DW56" s="36">
        <v>177.2</v>
      </c>
      <c r="DX56" s="36">
        <v>178.6</v>
      </c>
      <c r="DY56" s="36">
        <v>178.6</v>
      </c>
      <c r="DZ56" s="36">
        <v>179.1</v>
      </c>
      <c r="EA56" s="36">
        <v>179.8</v>
      </c>
    </row>
    <row r="57" spans="4:131" x14ac:dyDescent="0.35">
      <c r="D57" s="49" t="s">
        <v>23</v>
      </c>
      <c r="E57" s="36" t="s">
        <v>23</v>
      </c>
      <c r="F57" s="36" t="s">
        <v>101</v>
      </c>
      <c r="G57" s="36">
        <v>104</v>
      </c>
      <c r="H57" s="36">
        <v>104.4</v>
      </c>
      <c r="I57" s="36">
        <v>104.7</v>
      </c>
      <c r="J57" s="36">
        <v>105.1</v>
      </c>
      <c r="K57" s="36">
        <v>105.7</v>
      </c>
      <c r="L57" s="36">
        <v>106.3</v>
      </c>
      <c r="M57" s="36">
        <v>106.9</v>
      </c>
      <c r="N57" s="36">
        <v>107.5</v>
      </c>
      <c r="O57" s="36">
        <v>108.3</v>
      </c>
      <c r="P57" s="36">
        <v>108.9</v>
      </c>
      <c r="Q57" s="36">
        <v>109.7</v>
      </c>
      <c r="R57" s="36">
        <v>110.1</v>
      </c>
      <c r="S57" s="36">
        <v>110.6</v>
      </c>
      <c r="T57" s="36">
        <v>110.9</v>
      </c>
      <c r="U57" s="36">
        <v>111.4</v>
      </c>
      <c r="V57" s="36">
        <v>111.8</v>
      </c>
      <c r="W57" s="36">
        <v>112.1</v>
      </c>
      <c r="X57" s="36">
        <v>112.8</v>
      </c>
      <c r="Y57" s="36">
        <v>113.4</v>
      </c>
      <c r="Z57" s="36">
        <v>114</v>
      </c>
      <c r="AA57" s="36">
        <v>114.5</v>
      </c>
      <c r="AB57" s="36">
        <v>115.3</v>
      </c>
      <c r="AC57" s="36">
        <v>115.9</v>
      </c>
      <c r="AD57" s="36">
        <v>116.2</v>
      </c>
      <c r="AE57" s="36">
        <v>116.6</v>
      </c>
      <c r="AF57" s="36">
        <v>117.7</v>
      </c>
      <c r="AG57" s="36">
        <v>118.2</v>
      </c>
      <c r="AH57" s="36">
        <v>118.6</v>
      </c>
      <c r="AI57" s="36">
        <v>119.4</v>
      </c>
      <c r="AJ57" s="36">
        <v>120.4</v>
      </c>
      <c r="AK57" s="36">
        <v>120.8</v>
      </c>
      <c r="AL57" s="36">
        <v>121.1</v>
      </c>
      <c r="AM57" s="36">
        <v>121.4</v>
      </c>
      <c r="AN57" s="36">
        <v>122</v>
      </c>
      <c r="AO57" s="36">
        <v>122.6</v>
      </c>
      <c r="AP57" s="36">
        <v>123.1</v>
      </c>
      <c r="AQ57" s="36">
        <v>123.7</v>
      </c>
      <c r="AR57" s="36">
        <v>124.3</v>
      </c>
      <c r="AS57" s="36">
        <v>124.8</v>
      </c>
      <c r="AT57" s="36">
        <v>125.2</v>
      </c>
      <c r="AU57" s="36">
        <v>125.8</v>
      </c>
      <c r="AV57" s="36">
        <v>126.2</v>
      </c>
      <c r="AW57" s="36">
        <v>126.7</v>
      </c>
      <c r="AX57" s="36">
        <v>127</v>
      </c>
      <c r="AY57" s="36">
        <v>127.8</v>
      </c>
      <c r="AZ57" s="36">
        <v>128.69999999999999</v>
      </c>
      <c r="BA57" s="36">
        <v>129.1</v>
      </c>
      <c r="BB57" s="36">
        <v>129.69999999999999</v>
      </c>
      <c r="BC57" s="36">
        <v>129.9</v>
      </c>
      <c r="BD57" s="36">
        <v>130.1</v>
      </c>
      <c r="BE57" s="36">
        <v>130.6</v>
      </c>
      <c r="BF57" s="36">
        <v>131</v>
      </c>
      <c r="BG57" s="36">
        <v>131.4</v>
      </c>
      <c r="BH57" s="36">
        <v>131.30000000000001</v>
      </c>
      <c r="BI57" s="36">
        <v>132.1</v>
      </c>
      <c r="BJ57" s="36">
        <v>133</v>
      </c>
      <c r="BK57" s="36">
        <v>133.4</v>
      </c>
      <c r="BL57" s="36">
        <v>134.19999999999999</v>
      </c>
      <c r="BM57" s="36">
        <v>135.80000000000001</v>
      </c>
      <c r="BN57" s="36">
        <v>136.1</v>
      </c>
      <c r="BO57" s="36">
        <v>136</v>
      </c>
      <c r="BP57" s="36">
        <v>136.19999999999999</v>
      </c>
      <c r="BQ57" s="36">
        <v>136.69999999999999</v>
      </c>
      <c r="BR57" s="36">
        <v>137.6</v>
      </c>
      <c r="BS57" s="36">
        <v>138.4</v>
      </c>
      <c r="BT57" s="36">
        <v>138.4</v>
      </c>
      <c r="BU57" s="36">
        <v>139</v>
      </c>
      <c r="BV57" s="36">
        <v>139.4</v>
      </c>
      <c r="BW57" s="36">
        <v>140</v>
      </c>
      <c r="BX57" s="36">
        <v>144.80000000000001</v>
      </c>
      <c r="BY57" s="36">
        <v>145.4</v>
      </c>
      <c r="BZ57" s="36">
        <v>149.6</v>
      </c>
      <c r="CA57" s="36">
        <v>149.6</v>
      </c>
      <c r="CB57" s="36">
        <v>149.9</v>
      </c>
      <c r="CC57" s="36">
        <v>150.4</v>
      </c>
      <c r="CD57" s="36">
        <v>150.85000000000002</v>
      </c>
      <c r="CE57" s="36">
        <v>151.30000000000001</v>
      </c>
      <c r="CF57" s="36">
        <v>151.69999999999999</v>
      </c>
      <c r="CG57" s="36">
        <v>152.19999999999999</v>
      </c>
      <c r="CH57" s="36">
        <v>152.69999999999999</v>
      </c>
      <c r="CI57" s="36">
        <v>153.4</v>
      </c>
      <c r="CJ57" s="36">
        <v>153.69999999999999</v>
      </c>
      <c r="CK57" s="36">
        <v>154.30000000000001</v>
      </c>
      <c r="CL57" s="36">
        <v>154.80000000000001</v>
      </c>
      <c r="CM57" s="36">
        <v>155.69999999999999</v>
      </c>
      <c r="CN57" s="36">
        <v>156.19999999999999</v>
      </c>
      <c r="CO57" s="36">
        <v>156.69999999999999</v>
      </c>
      <c r="CP57" s="36">
        <v>154.30000000000001</v>
      </c>
      <c r="CQ57" s="36">
        <v>156.25</v>
      </c>
      <c r="CR57" s="36">
        <v>158.19999999999999</v>
      </c>
      <c r="CS57" s="36">
        <v>158.19999999999999</v>
      </c>
      <c r="CT57" s="36">
        <v>158.80000000000001</v>
      </c>
      <c r="CU57" s="36">
        <v>159.1</v>
      </c>
      <c r="CV57" s="36">
        <v>159.5</v>
      </c>
      <c r="CW57" s="36">
        <v>160.4</v>
      </c>
      <c r="CX57" s="36">
        <v>161.6</v>
      </c>
      <c r="CY57" s="36">
        <v>162.5</v>
      </c>
      <c r="CZ57" s="36">
        <v>164.3</v>
      </c>
      <c r="DA57" s="36">
        <v>164.6</v>
      </c>
      <c r="DB57" s="36">
        <v>165.3</v>
      </c>
      <c r="DC57" s="36">
        <v>169.1</v>
      </c>
      <c r="DD57" s="36">
        <v>169.7</v>
      </c>
      <c r="DE57" s="36">
        <v>170.4</v>
      </c>
      <c r="DF57" s="36">
        <v>171.1</v>
      </c>
      <c r="DG57" s="36">
        <v>171.9</v>
      </c>
      <c r="DH57" s="36">
        <v>172.5</v>
      </c>
      <c r="DI57" s="36">
        <v>173.4</v>
      </c>
      <c r="DJ57" s="36">
        <v>174</v>
      </c>
      <c r="DK57" s="36">
        <v>174.7</v>
      </c>
      <c r="DL57" s="36">
        <v>175.3</v>
      </c>
      <c r="DM57" s="36">
        <v>176</v>
      </c>
      <c r="DN57" s="36">
        <v>177</v>
      </c>
      <c r="DO57" s="36">
        <v>177.7</v>
      </c>
      <c r="DP57" s="36">
        <v>178.2</v>
      </c>
      <c r="DQ57" s="36">
        <v>178.8</v>
      </c>
      <c r="DR57" s="36">
        <v>179.4</v>
      </c>
      <c r="DS57" s="36">
        <v>180.2</v>
      </c>
      <c r="DT57" s="36">
        <v>181.2</v>
      </c>
      <c r="DU57" s="36">
        <v>182.3</v>
      </c>
      <c r="DV57" s="36">
        <v>183.5</v>
      </c>
      <c r="DW57" s="36">
        <v>184.7</v>
      </c>
      <c r="DX57" s="36">
        <v>186.6</v>
      </c>
      <c r="DY57" s="36">
        <v>186.6</v>
      </c>
      <c r="DZ57" s="36">
        <v>187.2</v>
      </c>
      <c r="EA57" s="36">
        <v>187.8</v>
      </c>
    </row>
    <row r="58" spans="4:131" x14ac:dyDescent="0.35">
      <c r="D58" s="49" t="s">
        <v>24</v>
      </c>
      <c r="E58" s="36" t="s">
        <v>61</v>
      </c>
      <c r="F58" s="36" t="s">
        <v>101</v>
      </c>
      <c r="G58" s="36">
        <v>103.3</v>
      </c>
      <c r="H58" s="36">
        <v>103.9</v>
      </c>
      <c r="I58" s="36">
        <v>104.6</v>
      </c>
      <c r="J58" s="36">
        <v>104.4</v>
      </c>
      <c r="K58" s="36">
        <v>104.1</v>
      </c>
      <c r="L58" s="36">
        <v>105</v>
      </c>
      <c r="M58" s="36">
        <v>106.8</v>
      </c>
      <c r="N58" s="36">
        <v>107.8</v>
      </c>
      <c r="O58" s="36">
        <v>109.3</v>
      </c>
      <c r="P58" s="36">
        <v>109.3</v>
      </c>
      <c r="Q58" s="36">
        <v>109.6</v>
      </c>
      <c r="R58" s="36">
        <v>109.9</v>
      </c>
      <c r="S58" s="36">
        <v>110.5</v>
      </c>
      <c r="T58" s="36">
        <v>110.8</v>
      </c>
      <c r="U58" s="36">
        <v>111.2</v>
      </c>
      <c r="V58" s="36">
        <v>111.2</v>
      </c>
      <c r="W58" s="36">
        <v>111.4</v>
      </c>
      <c r="X58" s="36">
        <v>112.2</v>
      </c>
      <c r="Y58" s="36">
        <v>113.2</v>
      </c>
      <c r="Z58" s="36">
        <v>113.2</v>
      </c>
      <c r="AA58" s="36">
        <v>112.8</v>
      </c>
      <c r="AB58" s="36">
        <v>112.6</v>
      </c>
      <c r="AC58" s="36">
        <v>112</v>
      </c>
      <c r="AD58" s="36">
        <v>111.5</v>
      </c>
      <c r="AE58" s="36">
        <v>111</v>
      </c>
      <c r="AF58" s="36">
        <v>110.9</v>
      </c>
      <c r="AG58" s="36">
        <v>111.6</v>
      </c>
      <c r="AH58" s="36">
        <v>111.9</v>
      </c>
      <c r="AI58" s="36">
        <v>113.3</v>
      </c>
      <c r="AJ58" s="36">
        <v>114.2</v>
      </c>
      <c r="AK58" s="36">
        <v>114.1</v>
      </c>
      <c r="AL58" s="36">
        <v>113.6</v>
      </c>
      <c r="AM58" s="36">
        <v>113.8</v>
      </c>
      <c r="AN58" s="36">
        <v>113.8</v>
      </c>
      <c r="AO58" s="36">
        <v>114</v>
      </c>
      <c r="AP58" s="36">
        <v>114</v>
      </c>
      <c r="AQ58" s="36">
        <v>113.6</v>
      </c>
      <c r="AR58" s="36">
        <v>113.9</v>
      </c>
      <c r="AS58" s="36">
        <v>113.6</v>
      </c>
      <c r="AT58" s="36">
        <v>114.4</v>
      </c>
      <c r="AU58" s="36">
        <v>115.1</v>
      </c>
      <c r="AV58" s="36">
        <v>116.3</v>
      </c>
      <c r="AW58" s="36">
        <v>116.4</v>
      </c>
      <c r="AX58" s="36">
        <v>116</v>
      </c>
      <c r="AY58" s="36">
        <v>117</v>
      </c>
      <c r="AZ58" s="36">
        <v>117.8</v>
      </c>
      <c r="BA58" s="36">
        <v>118.2</v>
      </c>
      <c r="BB58" s="36">
        <v>118.6</v>
      </c>
      <c r="BC58" s="36">
        <v>119.1</v>
      </c>
      <c r="BD58" s="36">
        <v>119.5</v>
      </c>
      <c r="BE58" s="36">
        <v>119.8</v>
      </c>
      <c r="BF58" s="36">
        <v>119.2</v>
      </c>
      <c r="BG58" s="36">
        <v>119.4</v>
      </c>
      <c r="BH58" s="36">
        <v>119.4</v>
      </c>
      <c r="BI58" s="36">
        <v>119.1</v>
      </c>
      <c r="BJ58" s="36">
        <v>120.3</v>
      </c>
      <c r="BK58" s="36">
        <v>121.2</v>
      </c>
      <c r="BL58" s="36">
        <v>121</v>
      </c>
      <c r="BM58" s="36">
        <v>121.6</v>
      </c>
      <c r="BN58" s="36">
        <v>122</v>
      </c>
      <c r="BO58" s="36">
        <v>122.7</v>
      </c>
      <c r="BP58" s="36">
        <v>123.3</v>
      </c>
      <c r="BQ58" s="36">
        <v>124.6</v>
      </c>
      <c r="BR58" s="36">
        <v>125.3</v>
      </c>
      <c r="BS58" s="36">
        <v>126.4</v>
      </c>
      <c r="BT58" s="36">
        <v>127.4</v>
      </c>
      <c r="BU58" s="36">
        <v>127.5</v>
      </c>
      <c r="BV58" s="36">
        <v>128.30000000000001</v>
      </c>
      <c r="BW58" s="36">
        <v>129.9</v>
      </c>
      <c r="BX58" s="36">
        <v>130.80000000000001</v>
      </c>
      <c r="BY58" s="36">
        <v>130.30000000000001</v>
      </c>
      <c r="BZ58" s="36">
        <v>128.9</v>
      </c>
      <c r="CA58" s="36">
        <v>128.6</v>
      </c>
      <c r="CB58" s="36">
        <v>129.19999999999999</v>
      </c>
      <c r="CC58" s="36">
        <v>129.9</v>
      </c>
      <c r="CD58" s="36">
        <v>130.05000000000001</v>
      </c>
      <c r="CE58" s="36">
        <v>130.19999999999999</v>
      </c>
      <c r="CF58" s="36">
        <v>130.19999999999999</v>
      </c>
      <c r="CG58" s="36">
        <v>131.19999999999999</v>
      </c>
      <c r="CH58" s="36">
        <v>131.4</v>
      </c>
      <c r="CI58" s="36">
        <v>131.6</v>
      </c>
      <c r="CJ58" s="36">
        <v>131.69999999999999</v>
      </c>
      <c r="CK58" s="36">
        <v>132.1</v>
      </c>
      <c r="CL58" s="36">
        <v>135</v>
      </c>
      <c r="CM58" s="36">
        <v>136.30000000000001</v>
      </c>
      <c r="CN58" s="36">
        <v>136</v>
      </c>
      <c r="CO58" s="36">
        <v>135.80000000000001</v>
      </c>
      <c r="CP58" s="36">
        <v>137.66666666666669</v>
      </c>
      <c r="CQ58" s="36">
        <v>139.53333333333333</v>
      </c>
      <c r="CR58" s="36">
        <v>141.4</v>
      </c>
      <c r="CS58" s="36">
        <v>141.4</v>
      </c>
      <c r="CT58" s="36">
        <v>143.6</v>
      </c>
      <c r="CU58" s="36">
        <v>144.6</v>
      </c>
      <c r="CV58" s="36">
        <v>146.4</v>
      </c>
      <c r="CW58" s="36">
        <v>146.1</v>
      </c>
      <c r="CX58" s="36">
        <v>146.4</v>
      </c>
      <c r="CY58" s="36">
        <v>147.5</v>
      </c>
      <c r="CZ58" s="36">
        <v>150.19999999999999</v>
      </c>
      <c r="DA58" s="36">
        <v>151.30000000000001</v>
      </c>
      <c r="DB58" s="36">
        <v>151.69999999999999</v>
      </c>
      <c r="DC58" s="36">
        <v>153.19999999999999</v>
      </c>
      <c r="DD58" s="36">
        <v>154.19999999999999</v>
      </c>
      <c r="DE58" s="36">
        <v>157.1</v>
      </c>
      <c r="DF58" s="36">
        <v>157.69999999999999</v>
      </c>
      <c r="DG58" s="36">
        <v>157.80000000000001</v>
      </c>
      <c r="DH58" s="36">
        <v>159.5</v>
      </c>
      <c r="DI58" s="36">
        <v>158.9</v>
      </c>
      <c r="DJ58" s="36">
        <v>160.1</v>
      </c>
      <c r="DK58" s="36">
        <v>160.80000000000001</v>
      </c>
      <c r="DL58" s="36">
        <v>161.19999999999999</v>
      </c>
      <c r="DM58" s="36">
        <v>162</v>
      </c>
      <c r="DN58" s="36">
        <v>166.2</v>
      </c>
      <c r="DO58" s="36">
        <v>167.1</v>
      </c>
      <c r="DP58" s="36">
        <v>165.5</v>
      </c>
      <c r="DQ58" s="36">
        <v>166.3</v>
      </c>
      <c r="DR58" s="36">
        <v>166.6</v>
      </c>
      <c r="DS58" s="36">
        <v>166.9</v>
      </c>
      <c r="DT58" s="36">
        <v>167.4</v>
      </c>
      <c r="DU58" s="36">
        <v>167.5</v>
      </c>
      <c r="DV58" s="36">
        <v>167.8</v>
      </c>
      <c r="DW58" s="36">
        <v>168.2</v>
      </c>
      <c r="DX58" s="36">
        <v>169</v>
      </c>
      <c r="DY58" s="36">
        <v>169</v>
      </c>
      <c r="DZ58" s="36">
        <v>169.4</v>
      </c>
      <c r="EA58" s="36">
        <v>169.7</v>
      </c>
    </row>
    <row r="59" spans="4:131" x14ac:dyDescent="0.35">
      <c r="D59" s="49" t="s">
        <v>25</v>
      </c>
      <c r="E59" s="36" t="s">
        <v>60</v>
      </c>
      <c r="F59" s="36" t="s">
        <v>101</v>
      </c>
      <c r="G59" s="36">
        <v>103.4</v>
      </c>
      <c r="H59" s="36">
        <v>104</v>
      </c>
      <c r="I59" s="36">
        <v>104</v>
      </c>
      <c r="J59" s="36">
        <v>104.5</v>
      </c>
      <c r="K59" s="36">
        <v>105</v>
      </c>
      <c r="L59" s="36">
        <v>105.6</v>
      </c>
      <c r="M59" s="36">
        <v>106.4</v>
      </c>
      <c r="N59" s="36">
        <v>106.8</v>
      </c>
      <c r="O59" s="36">
        <v>107.7</v>
      </c>
      <c r="P59" s="36">
        <v>108.3</v>
      </c>
      <c r="Q59" s="36">
        <v>108.7</v>
      </c>
      <c r="R59" s="36">
        <v>109.2</v>
      </c>
      <c r="S59" s="36">
        <v>109.6</v>
      </c>
      <c r="T59" s="36">
        <v>109.9</v>
      </c>
      <c r="U59" s="36">
        <v>110.2</v>
      </c>
      <c r="V59" s="36">
        <v>110.5</v>
      </c>
      <c r="W59" s="36">
        <v>110.9</v>
      </c>
      <c r="X59" s="36">
        <v>111.4</v>
      </c>
      <c r="Y59" s="36">
        <v>111.8</v>
      </c>
      <c r="Z59" s="36">
        <v>112.2</v>
      </c>
      <c r="AA59" s="36">
        <v>112.6</v>
      </c>
      <c r="AB59" s="36">
        <v>113</v>
      </c>
      <c r="AC59" s="36">
        <v>113.3</v>
      </c>
      <c r="AD59" s="36">
        <v>113.3</v>
      </c>
      <c r="AE59" s="36">
        <v>114</v>
      </c>
      <c r="AF59" s="36">
        <v>114.8</v>
      </c>
      <c r="AG59" s="36">
        <v>115.5</v>
      </c>
      <c r="AH59" s="36">
        <v>116.2</v>
      </c>
      <c r="AI59" s="36">
        <v>116.7</v>
      </c>
      <c r="AJ59" s="36">
        <v>117.9</v>
      </c>
      <c r="AK59" s="36">
        <v>118</v>
      </c>
      <c r="AL59" s="36">
        <v>118.5</v>
      </c>
      <c r="AM59" s="36">
        <v>119.6</v>
      </c>
      <c r="AN59" s="36">
        <v>120.1</v>
      </c>
      <c r="AO59" s="36">
        <v>120.9</v>
      </c>
      <c r="AP59" s="36">
        <v>121.6</v>
      </c>
      <c r="AQ59" s="36">
        <v>121.4</v>
      </c>
      <c r="AR59" s="36">
        <v>122.3</v>
      </c>
      <c r="AS59" s="36">
        <v>122.5</v>
      </c>
      <c r="AT59" s="36">
        <v>123.2</v>
      </c>
      <c r="AU59" s="36">
        <v>123.6</v>
      </c>
      <c r="AV59" s="36">
        <v>124.1</v>
      </c>
      <c r="AW59" s="36">
        <v>125.2</v>
      </c>
      <c r="AX59" s="36">
        <v>125.5</v>
      </c>
      <c r="AY59" s="36">
        <v>125.7</v>
      </c>
      <c r="AZ59" s="36">
        <v>126.5</v>
      </c>
      <c r="BA59" s="36">
        <v>126.9</v>
      </c>
      <c r="BB59" s="36">
        <v>127.3</v>
      </c>
      <c r="BC59" s="36">
        <v>127</v>
      </c>
      <c r="BD59" s="36">
        <v>127.7</v>
      </c>
      <c r="BE59" s="36">
        <v>128.30000000000001</v>
      </c>
      <c r="BF59" s="36">
        <v>128.30000000000001</v>
      </c>
      <c r="BG59" s="36">
        <v>129.4</v>
      </c>
      <c r="BH59" s="36">
        <v>129.80000000000001</v>
      </c>
      <c r="BI59" s="36">
        <v>130.6</v>
      </c>
      <c r="BJ59" s="36">
        <v>131.5</v>
      </c>
      <c r="BK59" s="36">
        <v>132.30000000000001</v>
      </c>
      <c r="BL59" s="36">
        <v>133</v>
      </c>
      <c r="BM59" s="36">
        <v>133.69999999999999</v>
      </c>
      <c r="BN59" s="36">
        <v>133.4</v>
      </c>
      <c r="BO59" s="36">
        <v>134.30000000000001</v>
      </c>
      <c r="BP59" s="36">
        <v>134.30000000000001</v>
      </c>
      <c r="BQ59" s="36">
        <v>135.1</v>
      </c>
      <c r="BR59" s="36">
        <v>136</v>
      </c>
      <c r="BS59" s="36">
        <v>136.80000000000001</v>
      </c>
      <c r="BT59" s="36">
        <v>137.80000000000001</v>
      </c>
      <c r="BU59" s="36">
        <v>138.4</v>
      </c>
      <c r="BV59" s="36">
        <v>138.6</v>
      </c>
      <c r="BW59" s="36">
        <v>140</v>
      </c>
      <c r="BX59" s="36">
        <v>140.1</v>
      </c>
      <c r="BY59" s="36">
        <v>143.1</v>
      </c>
      <c r="BZ59" s="36">
        <v>143.30000000000001</v>
      </c>
      <c r="CA59" s="36">
        <v>142.9</v>
      </c>
      <c r="CB59" s="36">
        <v>143.4</v>
      </c>
      <c r="CC59" s="36">
        <v>143.80000000000001</v>
      </c>
      <c r="CD59" s="36">
        <v>144.85000000000002</v>
      </c>
      <c r="CE59" s="36">
        <v>145.9</v>
      </c>
      <c r="CF59" s="36">
        <v>146.4</v>
      </c>
      <c r="CG59" s="36">
        <v>147.5</v>
      </c>
      <c r="CH59" s="36">
        <v>148</v>
      </c>
      <c r="CI59" s="36">
        <v>148.30000000000001</v>
      </c>
      <c r="CJ59" s="36">
        <v>148.69999999999999</v>
      </c>
      <c r="CK59" s="36">
        <v>149.1</v>
      </c>
      <c r="CL59" s="36">
        <v>149.5</v>
      </c>
      <c r="CM59" s="36">
        <v>150.1</v>
      </c>
      <c r="CN59" s="36">
        <v>150.4</v>
      </c>
      <c r="CO59" s="36">
        <v>151.19999999999999</v>
      </c>
      <c r="CP59" s="36">
        <v>151.86666666666665</v>
      </c>
      <c r="CQ59" s="36">
        <v>152.53333333333333</v>
      </c>
      <c r="CR59" s="36">
        <v>153.19999999999999</v>
      </c>
      <c r="CS59" s="36">
        <v>153.19999999999999</v>
      </c>
      <c r="CT59" s="36">
        <v>152.19999999999999</v>
      </c>
      <c r="CU59" s="36">
        <v>152.80000000000001</v>
      </c>
      <c r="CV59" s="36">
        <v>152.4</v>
      </c>
      <c r="CW59" s="36">
        <v>153.6</v>
      </c>
      <c r="CX59" s="36">
        <v>153.9</v>
      </c>
      <c r="CY59" s="36">
        <v>155.1</v>
      </c>
      <c r="CZ59" s="36">
        <v>157</v>
      </c>
      <c r="DA59" s="36">
        <v>157.80000000000001</v>
      </c>
      <c r="DB59" s="36">
        <v>158.6</v>
      </c>
      <c r="DC59" s="36">
        <v>160</v>
      </c>
      <c r="DD59" s="36">
        <v>160.4</v>
      </c>
      <c r="DE59" s="36">
        <v>160.69999999999999</v>
      </c>
      <c r="DF59" s="36">
        <v>161.1</v>
      </c>
      <c r="DG59" s="36">
        <v>162.69999999999999</v>
      </c>
      <c r="DH59" s="36">
        <v>163.19999999999999</v>
      </c>
      <c r="DI59" s="36">
        <v>163.80000000000001</v>
      </c>
      <c r="DJ59" s="36">
        <v>164.5</v>
      </c>
      <c r="DK59" s="36">
        <v>164.9</v>
      </c>
      <c r="DL59" s="36">
        <v>165.5</v>
      </c>
      <c r="DM59" s="36">
        <v>166.6</v>
      </c>
      <c r="DN59" s="36">
        <v>167.2</v>
      </c>
      <c r="DO59" s="36">
        <v>167.6</v>
      </c>
      <c r="DP59" s="36">
        <v>168</v>
      </c>
      <c r="DQ59" s="36">
        <v>168.6</v>
      </c>
      <c r="DR59" s="36">
        <v>169.3</v>
      </c>
      <c r="DS59" s="36">
        <v>170</v>
      </c>
      <c r="DT59" s="36">
        <v>170.6</v>
      </c>
      <c r="DU59" s="36">
        <v>170.8</v>
      </c>
      <c r="DV59" s="36">
        <v>171.2</v>
      </c>
      <c r="DW59" s="36">
        <v>171.8</v>
      </c>
      <c r="DX59" s="36">
        <v>172.8</v>
      </c>
      <c r="DY59" s="36">
        <v>172.8</v>
      </c>
      <c r="DZ59" s="36">
        <v>173.2</v>
      </c>
      <c r="EA59" s="36">
        <v>173.8</v>
      </c>
    </row>
    <row r="60" spans="4:131" x14ac:dyDescent="0.35">
      <c r="D60" s="49" t="s">
        <v>26</v>
      </c>
      <c r="E60" s="36" t="s">
        <v>61</v>
      </c>
      <c r="F60" s="36" t="s">
        <v>101</v>
      </c>
      <c r="G60" s="36">
        <v>103.8</v>
      </c>
      <c r="H60" s="36">
        <v>104.1</v>
      </c>
      <c r="I60" s="36">
        <v>104.3</v>
      </c>
      <c r="J60" s="36">
        <v>104.8</v>
      </c>
      <c r="K60" s="36">
        <v>105.5</v>
      </c>
      <c r="L60" s="36">
        <v>106.5</v>
      </c>
      <c r="M60" s="36">
        <v>107.8</v>
      </c>
      <c r="N60" s="36">
        <v>108.7</v>
      </c>
      <c r="O60" s="36">
        <v>109.8</v>
      </c>
      <c r="P60" s="36">
        <v>110.2</v>
      </c>
      <c r="Q60" s="36">
        <v>111</v>
      </c>
      <c r="R60" s="36">
        <v>111.6</v>
      </c>
      <c r="S60" s="36">
        <v>111.8</v>
      </c>
      <c r="T60" s="36">
        <v>112</v>
      </c>
      <c r="U60" s="36">
        <v>112.4</v>
      </c>
      <c r="V60" s="36">
        <v>113</v>
      </c>
      <c r="W60" s="36">
        <v>113.1</v>
      </c>
      <c r="X60" s="36">
        <v>114.3</v>
      </c>
      <c r="Y60" s="36">
        <v>115.5</v>
      </c>
      <c r="Z60" s="36">
        <v>116.2</v>
      </c>
      <c r="AA60" s="36">
        <v>116.6</v>
      </c>
      <c r="AB60" s="36">
        <v>116.9</v>
      </c>
      <c r="AC60" s="36">
        <v>117.2</v>
      </c>
      <c r="AD60" s="36">
        <v>117.7</v>
      </c>
      <c r="AE60" s="36">
        <v>118.2</v>
      </c>
      <c r="AF60" s="36">
        <v>118.7</v>
      </c>
      <c r="AG60" s="36">
        <v>119.4</v>
      </c>
      <c r="AH60" s="36">
        <v>119.9</v>
      </c>
      <c r="AI60" s="36">
        <v>120.5</v>
      </c>
      <c r="AJ60" s="36">
        <v>122</v>
      </c>
      <c r="AK60" s="36">
        <v>122.9</v>
      </c>
      <c r="AL60" s="36">
        <v>123.6</v>
      </c>
      <c r="AM60" s="36">
        <v>124.5</v>
      </c>
      <c r="AN60" s="36">
        <v>125.1</v>
      </c>
      <c r="AO60" s="36">
        <v>125.8</v>
      </c>
      <c r="AP60" s="36">
        <v>125.6</v>
      </c>
      <c r="AQ60" s="36">
        <v>126.2</v>
      </c>
      <c r="AR60" s="36">
        <v>127.1</v>
      </c>
      <c r="AS60" s="36">
        <v>127.5</v>
      </c>
      <c r="AT60" s="36">
        <v>127.9</v>
      </c>
      <c r="AU60" s="36">
        <v>129.1</v>
      </c>
      <c r="AV60" s="36">
        <v>130.19999999999999</v>
      </c>
      <c r="AW60" s="36">
        <v>130.80000000000001</v>
      </c>
      <c r="AX60" s="36">
        <v>131.9</v>
      </c>
      <c r="AY60" s="36">
        <v>132.19999999999999</v>
      </c>
      <c r="AZ60" s="36">
        <v>133</v>
      </c>
      <c r="BA60" s="36">
        <v>133.69999999999999</v>
      </c>
      <c r="BB60" s="36">
        <v>134.19999999999999</v>
      </c>
      <c r="BC60" s="36">
        <v>134.6</v>
      </c>
      <c r="BD60" s="36">
        <v>134.9</v>
      </c>
      <c r="BE60" s="36">
        <v>135.19999999999999</v>
      </c>
      <c r="BF60" s="36">
        <v>135.69999999999999</v>
      </c>
      <c r="BG60" s="36">
        <v>136.30000000000001</v>
      </c>
      <c r="BH60" s="36">
        <v>136.9</v>
      </c>
      <c r="BI60" s="36">
        <v>138.6</v>
      </c>
      <c r="BJ60" s="36">
        <v>140.19999999999999</v>
      </c>
      <c r="BK60" s="36">
        <v>139.6</v>
      </c>
      <c r="BL60" s="36">
        <v>140.1</v>
      </c>
      <c r="BM60" s="36">
        <v>141.5</v>
      </c>
      <c r="BN60" s="36">
        <v>141.1</v>
      </c>
      <c r="BO60" s="36">
        <v>141.6</v>
      </c>
      <c r="BP60" s="36">
        <v>141.5</v>
      </c>
      <c r="BQ60" s="36">
        <v>142.69999999999999</v>
      </c>
      <c r="BR60" s="36">
        <v>143.69999999999999</v>
      </c>
      <c r="BS60" s="36">
        <v>144.4</v>
      </c>
      <c r="BT60" s="36">
        <v>145.1</v>
      </c>
      <c r="BU60" s="36">
        <v>145.80000000000001</v>
      </c>
      <c r="BV60" s="36">
        <v>146.9</v>
      </c>
      <c r="BW60" s="36">
        <v>147.6</v>
      </c>
      <c r="BX60" s="36">
        <v>148</v>
      </c>
      <c r="BY60" s="36">
        <v>150.19999999999999</v>
      </c>
      <c r="BZ60" s="36">
        <v>155.1</v>
      </c>
      <c r="CA60" s="36">
        <v>155.19999999999999</v>
      </c>
      <c r="CB60" s="36">
        <v>155.5</v>
      </c>
      <c r="CC60" s="36">
        <v>155.5</v>
      </c>
      <c r="CD60" s="36">
        <v>156.1</v>
      </c>
      <c r="CE60" s="36">
        <v>156.69999999999999</v>
      </c>
      <c r="CF60" s="36">
        <v>157.69999999999999</v>
      </c>
      <c r="CG60" s="36">
        <v>159.1</v>
      </c>
      <c r="CH60" s="36">
        <v>159.69999999999999</v>
      </c>
      <c r="CI60" s="36">
        <v>160.19999999999999</v>
      </c>
      <c r="CJ60" s="36">
        <v>160.69999999999999</v>
      </c>
      <c r="CK60" s="36">
        <v>160.80000000000001</v>
      </c>
      <c r="CL60" s="36">
        <v>161.1</v>
      </c>
      <c r="CM60" s="36">
        <v>161.69999999999999</v>
      </c>
      <c r="CN60" s="36">
        <v>161.9</v>
      </c>
      <c r="CO60" s="36">
        <v>161.19999999999999</v>
      </c>
      <c r="CP60" s="36">
        <v>161.4</v>
      </c>
      <c r="CQ60" s="36">
        <v>161.6</v>
      </c>
      <c r="CR60" s="36">
        <v>161.80000000000001</v>
      </c>
      <c r="CS60" s="36">
        <v>161.80000000000001</v>
      </c>
      <c r="CT60" s="36">
        <v>162.69999999999999</v>
      </c>
      <c r="CU60" s="36">
        <v>161.1</v>
      </c>
      <c r="CV60" s="36">
        <v>162.5</v>
      </c>
      <c r="CW60" s="36">
        <v>161.6</v>
      </c>
      <c r="CX60" s="36">
        <v>162.9</v>
      </c>
      <c r="CY60" s="36">
        <v>163.5</v>
      </c>
      <c r="CZ60" s="36">
        <v>163.6</v>
      </c>
      <c r="DA60" s="36">
        <v>163.80000000000001</v>
      </c>
      <c r="DB60" s="36">
        <v>164.1</v>
      </c>
      <c r="DC60" s="36">
        <v>167.6</v>
      </c>
      <c r="DD60" s="36">
        <v>166.8</v>
      </c>
      <c r="DE60" s="36">
        <v>167.2</v>
      </c>
      <c r="DF60" s="36">
        <v>167.5</v>
      </c>
      <c r="DG60" s="36">
        <v>168.5</v>
      </c>
      <c r="DH60" s="36">
        <v>169</v>
      </c>
      <c r="DI60" s="36">
        <v>169.3</v>
      </c>
      <c r="DJ60" s="36">
        <v>169.7</v>
      </c>
      <c r="DK60" s="36">
        <v>169.9</v>
      </c>
      <c r="DL60" s="36">
        <v>170.3</v>
      </c>
      <c r="DM60" s="36">
        <v>170.6</v>
      </c>
      <c r="DN60" s="36">
        <v>170.9</v>
      </c>
      <c r="DO60" s="36">
        <v>171.8</v>
      </c>
      <c r="DP60" s="36">
        <v>172.6</v>
      </c>
      <c r="DQ60" s="36">
        <v>174.7</v>
      </c>
      <c r="DR60" s="36">
        <v>175.7</v>
      </c>
      <c r="DS60" s="36">
        <v>176.2</v>
      </c>
      <c r="DT60" s="36">
        <v>176.5</v>
      </c>
      <c r="DU60" s="36">
        <v>176.9</v>
      </c>
      <c r="DV60" s="36">
        <v>177.3</v>
      </c>
      <c r="DW60" s="36">
        <v>177.8</v>
      </c>
      <c r="DX60" s="36">
        <v>178.5</v>
      </c>
      <c r="DY60" s="36">
        <v>178.5</v>
      </c>
      <c r="DZ60" s="36">
        <v>179.4</v>
      </c>
      <c r="EA60" s="36">
        <v>180.3</v>
      </c>
    </row>
    <row r="61" spans="4:131" x14ac:dyDescent="0.35">
      <c r="D61" s="49" t="s">
        <v>27</v>
      </c>
      <c r="E61" s="36" t="s">
        <v>60</v>
      </c>
      <c r="F61" s="36" t="s">
        <v>101</v>
      </c>
      <c r="G61" s="36">
        <v>104.7</v>
      </c>
      <c r="H61" s="36">
        <v>104.6</v>
      </c>
      <c r="I61" s="36">
        <v>104.3</v>
      </c>
      <c r="J61" s="36">
        <v>102.7</v>
      </c>
      <c r="K61" s="36">
        <v>102.1</v>
      </c>
      <c r="L61" s="36">
        <v>102.5</v>
      </c>
      <c r="M61" s="36">
        <v>102.5</v>
      </c>
      <c r="N61" s="36">
        <v>105</v>
      </c>
      <c r="O61" s="36">
        <v>106.7</v>
      </c>
      <c r="P61" s="36">
        <v>107.5</v>
      </c>
      <c r="Q61" s="36">
        <v>108.2</v>
      </c>
      <c r="R61" s="36">
        <v>108.1</v>
      </c>
      <c r="S61" s="36">
        <v>108.3</v>
      </c>
      <c r="T61" s="36">
        <v>108.7</v>
      </c>
      <c r="U61" s="36">
        <v>108.9</v>
      </c>
      <c r="V61" s="36">
        <v>108.9</v>
      </c>
      <c r="W61" s="36">
        <v>108.9</v>
      </c>
      <c r="X61" s="36">
        <v>108</v>
      </c>
      <c r="Y61" s="36">
        <v>108.8</v>
      </c>
      <c r="Z61" s="36">
        <v>109.4</v>
      </c>
      <c r="AA61" s="36">
        <v>109.1</v>
      </c>
      <c r="AB61" s="36">
        <v>109.3</v>
      </c>
      <c r="AC61" s="36">
        <v>108.8</v>
      </c>
      <c r="AD61" s="36">
        <v>109.4</v>
      </c>
      <c r="AE61" s="36">
        <v>110.2</v>
      </c>
      <c r="AF61" s="36">
        <v>110.8</v>
      </c>
      <c r="AG61" s="36">
        <v>110.8</v>
      </c>
      <c r="AH61" s="36">
        <v>111.6</v>
      </c>
      <c r="AI61" s="36">
        <v>112.3</v>
      </c>
      <c r="AJ61" s="36">
        <v>113</v>
      </c>
      <c r="AK61" s="36">
        <v>112.7</v>
      </c>
      <c r="AL61" s="36">
        <v>112.5</v>
      </c>
      <c r="AM61" s="36">
        <v>113.7</v>
      </c>
      <c r="AN61" s="36">
        <v>114.2</v>
      </c>
      <c r="AO61" s="36">
        <v>114.2</v>
      </c>
      <c r="AP61" s="36">
        <v>114.1</v>
      </c>
      <c r="AQ61" s="36">
        <v>114.9</v>
      </c>
      <c r="AR61" s="36">
        <v>116.8</v>
      </c>
      <c r="AS61" s="36">
        <v>117.4</v>
      </c>
      <c r="AT61" s="36">
        <v>118.4</v>
      </c>
      <c r="AU61" s="36">
        <v>119.7</v>
      </c>
      <c r="AV61" s="36">
        <v>119.9</v>
      </c>
      <c r="AW61" s="36">
        <v>120.9</v>
      </c>
      <c r="AX61" s="36">
        <v>122</v>
      </c>
      <c r="AY61" s="36">
        <v>122.8</v>
      </c>
      <c r="AZ61" s="36">
        <v>123</v>
      </c>
      <c r="BA61" s="36">
        <v>123.5</v>
      </c>
      <c r="BB61" s="36">
        <v>121.9</v>
      </c>
      <c r="BC61" s="36">
        <v>122.3</v>
      </c>
      <c r="BD61" s="36">
        <v>123.2</v>
      </c>
      <c r="BE61" s="36">
        <v>123.3</v>
      </c>
      <c r="BF61" s="36">
        <v>123.7</v>
      </c>
      <c r="BG61" s="36">
        <v>123.7</v>
      </c>
      <c r="BH61" s="36">
        <v>124.1</v>
      </c>
      <c r="BI61" s="36">
        <v>124.4</v>
      </c>
      <c r="BJ61" s="36">
        <v>125.4</v>
      </c>
      <c r="BK61" s="36">
        <v>126.7</v>
      </c>
      <c r="BL61" s="36">
        <v>127.4</v>
      </c>
      <c r="BM61" s="36">
        <v>128.1</v>
      </c>
      <c r="BN61" s="36">
        <v>127.8</v>
      </c>
      <c r="BO61" s="36">
        <v>128.6</v>
      </c>
      <c r="BP61" s="36">
        <v>128.80000000000001</v>
      </c>
      <c r="BQ61" s="36">
        <v>129.30000000000001</v>
      </c>
      <c r="BR61" s="36">
        <v>130.4</v>
      </c>
      <c r="BS61" s="36">
        <v>131.19999999999999</v>
      </c>
      <c r="BT61" s="36">
        <v>131.4</v>
      </c>
      <c r="BU61" s="36">
        <v>131.4</v>
      </c>
      <c r="BV61" s="36">
        <v>131.30000000000001</v>
      </c>
      <c r="BW61" s="36">
        <v>132</v>
      </c>
      <c r="BX61" s="36">
        <v>134.4</v>
      </c>
      <c r="BY61" s="36">
        <v>133.1</v>
      </c>
      <c r="BZ61" s="36">
        <v>133.19999999999999</v>
      </c>
      <c r="CA61" s="36">
        <v>133.5</v>
      </c>
      <c r="CB61" s="36">
        <v>134.9</v>
      </c>
      <c r="CC61" s="36">
        <v>134</v>
      </c>
      <c r="CD61" s="36">
        <v>133.94999999999999</v>
      </c>
      <c r="CE61" s="36">
        <v>133.9</v>
      </c>
      <c r="CF61" s="36">
        <v>134.80000000000001</v>
      </c>
      <c r="CG61" s="36">
        <v>136.1</v>
      </c>
      <c r="CH61" s="36">
        <v>138.80000000000001</v>
      </c>
      <c r="CI61" s="36">
        <v>140.19999999999999</v>
      </c>
      <c r="CJ61" s="36">
        <v>140.30000000000001</v>
      </c>
      <c r="CK61" s="36">
        <v>140.6</v>
      </c>
      <c r="CL61" s="36">
        <v>140.6</v>
      </c>
      <c r="CM61" s="36">
        <v>142.5</v>
      </c>
      <c r="CN61" s="36">
        <v>143.4</v>
      </c>
      <c r="CO61" s="36">
        <v>145.1</v>
      </c>
      <c r="CP61" s="36">
        <v>147.13333333333333</v>
      </c>
      <c r="CQ61" s="36">
        <v>149.16666666666666</v>
      </c>
      <c r="CR61" s="36">
        <v>151.19999999999999</v>
      </c>
      <c r="CS61" s="36">
        <v>151.19999999999999</v>
      </c>
      <c r="CT61" s="36">
        <v>153.6</v>
      </c>
      <c r="CU61" s="36">
        <v>157.4</v>
      </c>
      <c r="CV61" s="36">
        <v>156.19999999999999</v>
      </c>
      <c r="CW61" s="36">
        <v>156.19999999999999</v>
      </c>
      <c r="CX61" s="36">
        <v>156.6</v>
      </c>
      <c r="CY61" s="36">
        <v>156.19999999999999</v>
      </c>
      <c r="CZ61" s="36">
        <v>155.19999999999999</v>
      </c>
      <c r="DA61" s="36">
        <v>153.1</v>
      </c>
      <c r="DB61" s="36">
        <v>154.6</v>
      </c>
      <c r="DC61" s="36">
        <v>159.30000000000001</v>
      </c>
      <c r="DD61" s="36">
        <v>159.4</v>
      </c>
      <c r="DE61" s="36">
        <v>160.4</v>
      </c>
      <c r="DF61" s="36">
        <v>160.30000000000001</v>
      </c>
      <c r="DG61" s="36">
        <v>160.19999999999999</v>
      </c>
      <c r="DH61" s="36">
        <v>161.1</v>
      </c>
      <c r="DI61" s="36">
        <v>162.4</v>
      </c>
      <c r="DJ61" s="36">
        <v>162.80000000000001</v>
      </c>
      <c r="DK61" s="36">
        <v>163.19999999999999</v>
      </c>
      <c r="DL61" s="36">
        <v>164.5</v>
      </c>
      <c r="DM61" s="36">
        <v>167.4</v>
      </c>
      <c r="DN61" s="36">
        <v>169</v>
      </c>
      <c r="DO61" s="36">
        <v>168.5</v>
      </c>
      <c r="DP61" s="36">
        <v>169.5</v>
      </c>
      <c r="DQ61" s="36">
        <v>169.7</v>
      </c>
      <c r="DR61" s="36">
        <v>171.1</v>
      </c>
      <c r="DS61" s="36">
        <v>170.8</v>
      </c>
      <c r="DT61" s="36">
        <v>172</v>
      </c>
      <c r="DU61" s="36">
        <v>173.4</v>
      </c>
      <c r="DV61" s="36">
        <v>175.7</v>
      </c>
      <c r="DW61" s="36">
        <v>178.4</v>
      </c>
      <c r="DX61" s="36">
        <v>180.7</v>
      </c>
      <c r="DY61" s="36">
        <v>180.7</v>
      </c>
      <c r="DZ61" s="36">
        <v>183.8</v>
      </c>
      <c r="EA61" s="36">
        <v>184.9</v>
      </c>
    </row>
    <row r="62" spans="4:131" x14ac:dyDescent="0.35">
      <c r="D62" s="49" t="s">
        <v>28</v>
      </c>
      <c r="E62" s="36" t="s">
        <v>28</v>
      </c>
      <c r="F62" s="36" t="s">
        <v>101</v>
      </c>
      <c r="G62" s="36">
        <v>104</v>
      </c>
      <c r="H62" s="36">
        <v>104.4</v>
      </c>
      <c r="I62" s="36">
        <v>104.6</v>
      </c>
      <c r="J62" s="36">
        <v>104.6</v>
      </c>
      <c r="K62" s="36">
        <v>104.8</v>
      </c>
      <c r="L62" s="36">
        <v>105.5</v>
      </c>
      <c r="M62" s="36">
        <v>106.5</v>
      </c>
      <c r="N62" s="36">
        <v>107.5</v>
      </c>
      <c r="O62" s="36">
        <v>108.7</v>
      </c>
      <c r="P62" s="36">
        <v>109.1</v>
      </c>
      <c r="Q62" s="36">
        <v>109.8</v>
      </c>
      <c r="R62" s="36">
        <v>110.1</v>
      </c>
      <c r="S62" s="36">
        <v>110.6</v>
      </c>
      <c r="T62" s="36">
        <v>110.9</v>
      </c>
      <c r="U62" s="36">
        <v>111.3</v>
      </c>
      <c r="V62" s="36">
        <v>111.5</v>
      </c>
      <c r="W62" s="36">
        <v>111.8</v>
      </c>
      <c r="X62" s="36">
        <v>112.3</v>
      </c>
      <c r="Y62" s="36">
        <v>113.1</v>
      </c>
      <c r="Z62" s="36">
        <v>113.5</v>
      </c>
      <c r="AA62" s="36">
        <v>113.7</v>
      </c>
      <c r="AB62" s="36">
        <v>114</v>
      </c>
      <c r="AC62" s="36">
        <v>114.1</v>
      </c>
      <c r="AD62" s="36">
        <v>114.2</v>
      </c>
      <c r="AE62" s="36">
        <v>114.5</v>
      </c>
      <c r="AF62" s="36">
        <v>115</v>
      </c>
      <c r="AG62" s="36">
        <v>115.5</v>
      </c>
      <c r="AH62" s="36">
        <v>116</v>
      </c>
      <c r="AI62" s="36">
        <v>116.9</v>
      </c>
      <c r="AJ62" s="36">
        <v>117.9</v>
      </c>
      <c r="AK62" s="36">
        <v>118.1</v>
      </c>
      <c r="AL62" s="36">
        <v>118.2</v>
      </c>
      <c r="AM62" s="36">
        <v>118.8</v>
      </c>
      <c r="AN62" s="36">
        <v>119.2</v>
      </c>
      <c r="AO62" s="36">
        <v>119.6</v>
      </c>
      <c r="AP62" s="36">
        <v>119.8</v>
      </c>
      <c r="AQ62" s="36">
        <v>120.1</v>
      </c>
      <c r="AR62" s="36">
        <v>120.9</v>
      </c>
      <c r="AS62" s="36">
        <v>121.1</v>
      </c>
      <c r="AT62" s="36">
        <v>121.7</v>
      </c>
      <c r="AU62" s="36">
        <v>122.5</v>
      </c>
      <c r="AV62" s="36">
        <v>123.3</v>
      </c>
      <c r="AW62" s="36">
        <v>123.8</v>
      </c>
      <c r="AX62" s="36">
        <v>124.2</v>
      </c>
      <c r="AY62" s="36">
        <v>124.9</v>
      </c>
      <c r="AZ62" s="36">
        <v>125.7</v>
      </c>
      <c r="BA62" s="36">
        <v>126.1</v>
      </c>
      <c r="BB62" s="36">
        <v>126.3</v>
      </c>
      <c r="BC62" s="36">
        <v>126.6</v>
      </c>
      <c r="BD62" s="36">
        <v>127</v>
      </c>
      <c r="BE62" s="36">
        <v>127.4</v>
      </c>
      <c r="BF62" s="36">
        <v>127.5</v>
      </c>
      <c r="BG62" s="36">
        <v>127.9</v>
      </c>
      <c r="BH62" s="36">
        <v>128.1</v>
      </c>
      <c r="BI62" s="36">
        <v>128.6</v>
      </c>
      <c r="BJ62" s="36">
        <v>129.69999999999999</v>
      </c>
      <c r="BK62" s="36">
        <v>130.30000000000001</v>
      </c>
      <c r="BL62" s="36">
        <v>130.69999999999999</v>
      </c>
      <c r="BM62" s="36">
        <v>131.69999999999999</v>
      </c>
      <c r="BN62" s="36">
        <v>131.9</v>
      </c>
      <c r="BO62" s="36">
        <v>132.30000000000001</v>
      </c>
      <c r="BP62" s="36">
        <v>132.5</v>
      </c>
      <c r="BQ62" s="36">
        <v>133.30000000000001</v>
      </c>
      <c r="BR62" s="36">
        <v>134.19999999999999</v>
      </c>
      <c r="BS62" s="36">
        <v>135.1</v>
      </c>
      <c r="BT62" s="36">
        <v>135.6</v>
      </c>
      <c r="BU62" s="36">
        <v>136</v>
      </c>
      <c r="BV62" s="36">
        <v>136.6</v>
      </c>
      <c r="BW62" s="36">
        <v>137.4</v>
      </c>
      <c r="BX62" s="36">
        <v>139.80000000000001</v>
      </c>
      <c r="BY62" s="36">
        <v>140.1</v>
      </c>
      <c r="BZ62" s="36">
        <v>141.6</v>
      </c>
      <c r="CA62" s="36">
        <v>141.69999999999999</v>
      </c>
      <c r="CB62" s="36">
        <v>142.19999999999999</v>
      </c>
      <c r="CC62" s="36">
        <v>142.4</v>
      </c>
      <c r="CD62" s="36">
        <v>142.65</v>
      </c>
      <c r="CE62" s="36">
        <v>142.9</v>
      </c>
      <c r="CF62" s="36">
        <v>143.30000000000001</v>
      </c>
      <c r="CG62" s="36">
        <v>144.19999999999999</v>
      </c>
      <c r="CH62" s="36">
        <v>144.9</v>
      </c>
      <c r="CI62" s="36">
        <v>145.4</v>
      </c>
      <c r="CJ62" s="36">
        <v>145.69999999999999</v>
      </c>
      <c r="CK62" s="36">
        <v>146.1</v>
      </c>
      <c r="CL62" s="36">
        <v>147.1</v>
      </c>
      <c r="CM62" s="36">
        <v>148.1</v>
      </c>
      <c r="CN62" s="36">
        <v>148.4</v>
      </c>
      <c r="CO62" s="36">
        <v>148.6</v>
      </c>
      <c r="CP62" s="36">
        <v>149.63333333333333</v>
      </c>
      <c r="CQ62" s="36">
        <v>150.66666666666666</v>
      </c>
      <c r="CR62" s="36">
        <v>151.69999999999999</v>
      </c>
      <c r="CS62" s="36">
        <v>151.69999999999999</v>
      </c>
      <c r="CT62" s="36">
        <v>153</v>
      </c>
      <c r="CU62" s="36">
        <v>153.69999999999999</v>
      </c>
      <c r="CV62" s="36">
        <v>154.30000000000001</v>
      </c>
      <c r="CW62" s="36">
        <v>154.5</v>
      </c>
      <c r="CX62" s="36">
        <v>155.19999999999999</v>
      </c>
      <c r="CY62" s="36">
        <v>155.9</v>
      </c>
      <c r="CZ62" s="36">
        <v>157.19999999999999</v>
      </c>
      <c r="DA62" s="36">
        <v>157.30000000000001</v>
      </c>
      <c r="DB62" s="36">
        <v>158</v>
      </c>
      <c r="DC62" s="36">
        <v>161.1</v>
      </c>
      <c r="DD62" s="36">
        <v>161.5</v>
      </c>
      <c r="DE62" s="36">
        <v>162.80000000000001</v>
      </c>
      <c r="DF62" s="36">
        <v>163.30000000000001</v>
      </c>
      <c r="DG62" s="36">
        <v>163.80000000000001</v>
      </c>
      <c r="DH62" s="36">
        <v>164.7</v>
      </c>
      <c r="DI62" s="36">
        <v>165.2</v>
      </c>
      <c r="DJ62" s="36">
        <v>166</v>
      </c>
      <c r="DK62" s="36">
        <v>166.6</v>
      </c>
      <c r="DL62" s="36">
        <v>167.3</v>
      </c>
      <c r="DM62" s="36">
        <v>168.3</v>
      </c>
      <c r="DN62" s="36">
        <v>170.2</v>
      </c>
      <c r="DO62" s="36">
        <v>170.9</v>
      </c>
      <c r="DP62" s="36">
        <v>171</v>
      </c>
      <c r="DQ62" s="36">
        <v>171.8</v>
      </c>
      <c r="DR62" s="36">
        <v>172.6</v>
      </c>
      <c r="DS62" s="36">
        <v>173.1</v>
      </c>
      <c r="DT62" s="36">
        <v>173.9</v>
      </c>
      <c r="DU62" s="36">
        <v>174.6</v>
      </c>
      <c r="DV62" s="36">
        <v>175.5</v>
      </c>
      <c r="DW62" s="36">
        <v>176.5</v>
      </c>
      <c r="DX62" s="36">
        <v>177.9</v>
      </c>
      <c r="DY62" s="36">
        <v>177.9</v>
      </c>
      <c r="DZ62" s="36">
        <v>178.9</v>
      </c>
      <c r="EA62" s="36">
        <v>179.5</v>
      </c>
    </row>
    <row r="63" spans="4:131" x14ac:dyDescent="0.35">
      <c r="D63" s="49" t="s">
        <v>29</v>
      </c>
      <c r="E63" s="53" t="s">
        <v>64</v>
      </c>
      <c r="F63" s="36" t="s">
        <v>101</v>
      </c>
      <c r="G63" s="36">
        <v>105.1</v>
      </c>
      <c r="H63" s="36">
        <v>105.8</v>
      </c>
      <c r="I63" s="36">
        <v>106</v>
      </c>
      <c r="J63" s="36">
        <v>106.4</v>
      </c>
      <c r="K63" s="36">
        <v>107.2</v>
      </c>
      <c r="L63" s="36">
        <v>108.9</v>
      </c>
      <c r="M63" s="36">
        <v>110.7</v>
      </c>
      <c r="N63" s="36">
        <v>112.1</v>
      </c>
      <c r="O63" s="36">
        <v>114.2</v>
      </c>
      <c r="P63" s="36">
        <v>115.5</v>
      </c>
      <c r="Q63" s="36">
        <v>117.4</v>
      </c>
      <c r="R63" s="36">
        <v>115.5</v>
      </c>
      <c r="S63" s="36">
        <v>114.2</v>
      </c>
      <c r="T63" s="36">
        <v>114</v>
      </c>
      <c r="U63" s="36">
        <v>114.6</v>
      </c>
      <c r="V63" s="36">
        <v>115.4</v>
      </c>
      <c r="W63" s="36">
        <v>116</v>
      </c>
      <c r="X63" s="36">
        <v>117</v>
      </c>
      <c r="Y63" s="36">
        <v>119.5</v>
      </c>
      <c r="Z63" s="36">
        <v>120.7</v>
      </c>
      <c r="AA63" s="36">
        <v>120.9</v>
      </c>
      <c r="AB63" s="36">
        <v>121</v>
      </c>
      <c r="AC63" s="36">
        <v>121.1</v>
      </c>
      <c r="AD63" s="36">
        <v>120.3</v>
      </c>
      <c r="AE63" s="36">
        <v>120.3</v>
      </c>
      <c r="AF63" s="36">
        <v>120.6</v>
      </c>
      <c r="AG63" s="36">
        <v>121.1</v>
      </c>
      <c r="AH63" s="36">
        <v>121.5</v>
      </c>
      <c r="AI63" s="36">
        <v>122.4</v>
      </c>
      <c r="AJ63" s="36">
        <v>124.1</v>
      </c>
      <c r="AK63" s="36">
        <v>124.7</v>
      </c>
      <c r="AL63" s="36">
        <v>126.1</v>
      </c>
      <c r="AM63" s="36">
        <v>127</v>
      </c>
      <c r="AN63" s="36">
        <v>127.7</v>
      </c>
      <c r="AO63" s="36">
        <v>128.30000000000001</v>
      </c>
      <c r="AP63" s="36">
        <v>127.9</v>
      </c>
      <c r="AQ63" s="36">
        <v>128.1</v>
      </c>
      <c r="AR63" s="36">
        <v>127.9</v>
      </c>
      <c r="AS63" s="36">
        <v>128</v>
      </c>
      <c r="AT63" s="36">
        <v>129</v>
      </c>
      <c r="AU63" s="36">
        <v>130.30000000000001</v>
      </c>
      <c r="AV63" s="36">
        <v>131.9</v>
      </c>
      <c r="AW63" s="36">
        <v>133</v>
      </c>
      <c r="AX63" s="36">
        <v>133.5</v>
      </c>
      <c r="AY63" s="36">
        <v>133.4</v>
      </c>
      <c r="AZ63" s="36">
        <v>133.80000000000001</v>
      </c>
      <c r="BA63" s="36">
        <v>133.6</v>
      </c>
      <c r="BB63" s="36">
        <v>132.80000000000001</v>
      </c>
      <c r="BC63" s="36">
        <v>132.4</v>
      </c>
      <c r="BD63" s="36">
        <v>132.6</v>
      </c>
      <c r="BE63" s="36">
        <v>132.80000000000001</v>
      </c>
      <c r="BF63" s="36">
        <v>132.9</v>
      </c>
      <c r="BG63" s="36">
        <v>133.30000000000001</v>
      </c>
      <c r="BH63" s="36">
        <v>133.9</v>
      </c>
      <c r="BI63" s="36">
        <v>136.19999999999999</v>
      </c>
      <c r="BJ63" s="36">
        <v>137.80000000000001</v>
      </c>
      <c r="BK63" s="36">
        <v>137.6</v>
      </c>
      <c r="BL63" s="36">
        <v>138.30000000000001</v>
      </c>
      <c r="BM63" s="36">
        <v>140</v>
      </c>
      <c r="BN63" s="36">
        <v>139.80000000000001</v>
      </c>
      <c r="BO63" s="36">
        <v>139.30000000000001</v>
      </c>
      <c r="BP63" s="36">
        <v>138.5</v>
      </c>
      <c r="BQ63" s="36">
        <v>138.69999999999999</v>
      </c>
      <c r="BR63" s="36">
        <v>139.1</v>
      </c>
      <c r="BS63" s="36">
        <v>139.80000000000001</v>
      </c>
      <c r="BT63" s="36">
        <v>140.5</v>
      </c>
      <c r="BU63" s="36">
        <v>141.80000000000001</v>
      </c>
      <c r="BV63" s="36">
        <v>142.5</v>
      </c>
      <c r="BW63" s="36">
        <v>142.1</v>
      </c>
      <c r="BX63" s="36">
        <v>142.19999999999999</v>
      </c>
      <c r="BY63" s="36">
        <v>142.4</v>
      </c>
      <c r="BZ63" s="36">
        <v>141.9</v>
      </c>
      <c r="CA63" s="36">
        <v>141</v>
      </c>
      <c r="CB63" s="36">
        <v>141</v>
      </c>
      <c r="CC63" s="36">
        <v>141.19999999999999</v>
      </c>
      <c r="CD63" s="36">
        <v>141.80000000000001</v>
      </c>
      <c r="CE63" s="36">
        <v>142.4</v>
      </c>
      <c r="CF63" s="36">
        <v>143.6</v>
      </c>
      <c r="CG63" s="36">
        <v>144.9</v>
      </c>
      <c r="CH63" s="36">
        <v>145.69999999999999</v>
      </c>
      <c r="CI63" s="36">
        <v>146.69999999999999</v>
      </c>
      <c r="CJ63" s="36">
        <v>148.30000000000001</v>
      </c>
      <c r="CK63" s="36">
        <v>149.9</v>
      </c>
      <c r="CL63" s="36">
        <v>152.30000000000001</v>
      </c>
      <c r="CM63" s="36">
        <v>151.9</v>
      </c>
      <c r="CN63" s="36">
        <v>150.4</v>
      </c>
      <c r="CO63" s="36">
        <v>149.80000000000001</v>
      </c>
      <c r="CP63" s="36">
        <v>150.76666666666668</v>
      </c>
      <c r="CQ63" s="36">
        <v>151.73333333333332</v>
      </c>
      <c r="CR63" s="36">
        <v>152.69999999999999</v>
      </c>
      <c r="CS63" s="36">
        <v>152.69999999999999</v>
      </c>
      <c r="CT63" s="36">
        <v>154.69999999999999</v>
      </c>
      <c r="CU63" s="36">
        <v>155.4</v>
      </c>
      <c r="CV63" s="36">
        <v>157.5</v>
      </c>
      <c r="CW63" s="36">
        <v>159.80000000000001</v>
      </c>
      <c r="CX63" s="36">
        <v>160.69999999999999</v>
      </c>
      <c r="CY63" s="36">
        <v>158.5</v>
      </c>
      <c r="CZ63" s="36">
        <v>156.69999999999999</v>
      </c>
      <c r="DA63" s="36">
        <v>156.69999999999999</v>
      </c>
      <c r="DB63" s="36">
        <v>157.6</v>
      </c>
      <c r="DC63" s="36">
        <v>161.1</v>
      </c>
      <c r="DD63" s="36">
        <v>162.1</v>
      </c>
      <c r="DE63" s="36">
        <v>163.19999999999999</v>
      </c>
      <c r="DF63" s="36">
        <v>163.6</v>
      </c>
      <c r="DG63" s="36">
        <v>164</v>
      </c>
      <c r="DH63" s="36">
        <v>166.3</v>
      </c>
      <c r="DI63" s="36">
        <v>167.6</v>
      </c>
      <c r="DJ63" s="36">
        <v>167</v>
      </c>
      <c r="DK63" s="36">
        <v>166.4</v>
      </c>
      <c r="DL63" s="36">
        <v>166.7</v>
      </c>
      <c r="DM63" s="36">
        <v>168.7</v>
      </c>
      <c r="DN63" s="36">
        <v>170.8</v>
      </c>
      <c r="DO63" s="36">
        <v>172.5</v>
      </c>
      <c r="DP63" s="36">
        <v>173.6</v>
      </c>
      <c r="DQ63" s="36">
        <v>174.3</v>
      </c>
      <c r="DR63" s="36">
        <v>175.3</v>
      </c>
      <c r="DS63" s="36">
        <v>176.4</v>
      </c>
      <c r="DT63" s="36">
        <v>177.9</v>
      </c>
      <c r="DU63" s="36">
        <v>177.8</v>
      </c>
      <c r="DV63" s="36">
        <v>177.1</v>
      </c>
      <c r="DW63" s="36">
        <v>177.8</v>
      </c>
      <c r="DX63" s="36">
        <v>178</v>
      </c>
      <c r="DY63" s="36">
        <v>178</v>
      </c>
      <c r="DZ63" s="36">
        <v>178.8</v>
      </c>
      <c r="EA63" s="36">
        <v>179.8</v>
      </c>
    </row>
    <row r="64" spans="4:131" x14ac:dyDescent="0.35">
      <c r="D64" s="50" t="s">
        <v>3</v>
      </c>
      <c r="E64" s="51" t="s">
        <v>59</v>
      </c>
      <c r="F64" s="51" t="s">
        <v>33</v>
      </c>
      <c r="G64" s="51">
        <v>110.5</v>
      </c>
      <c r="H64" s="51">
        <v>112.9</v>
      </c>
      <c r="I64" s="51">
        <v>113.9</v>
      </c>
      <c r="J64" s="51">
        <v>114.6</v>
      </c>
      <c r="K64" s="51">
        <v>115.4</v>
      </c>
      <c r="L64" s="51">
        <v>117</v>
      </c>
      <c r="M64" s="51">
        <v>117.8</v>
      </c>
      <c r="N64" s="51">
        <v>118.3</v>
      </c>
      <c r="O64" s="51">
        <v>118.6</v>
      </c>
      <c r="P64" s="51">
        <v>118.9</v>
      </c>
      <c r="Q64" s="51">
        <v>119.8</v>
      </c>
      <c r="R64" s="51">
        <v>120.5</v>
      </c>
      <c r="S64" s="51">
        <v>121.2</v>
      </c>
      <c r="T64" s="51">
        <v>121.9</v>
      </c>
      <c r="U64" s="51">
        <v>122.1</v>
      </c>
      <c r="V64" s="51">
        <v>122.5</v>
      </c>
      <c r="W64" s="51">
        <v>122.7</v>
      </c>
      <c r="X64" s="51">
        <v>123.1</v>
      </c>
      <c r="Y64" s="51">
        <v>123.8</v>
      </c>
      <c r="Z64" s="51">
        <v>124.8</v>
      </c>
      <c r="AA64" s="51">
        <v>124.2</v>
      </c>
      <c r="AB64" s="51">
        <v>124.6</v>
      </c>
      <c r="AC64" s="51">
        <v>124.5</v>
      </c>
      <c r="AD64" s="51">
        <v>124</v>
      </c>
      <c r="AE64" s="51">
        <v>124</v>
      </c>
      <c r="AF64" s="51">
        <v>124.3</v>
      </c>
      <c r="AG64" s="51">
        <v>124</v>
      </c>
      <c r="AH64" s="51">
        <v>123.8</v>
      </c>
      <c r="AI64" s="51">
        <v>123.8</v>
      </c>
      <c r="AJ64" s="51">
        <v>123.6</v>
      </c>
      <c r="AK64" s="51">
        <v>123.2</v>
      </c>
      <c r="AL64" s="51">
        <v>123.1</v>
      </c>
      <c r="AM64" s="51">
        <v>123.4</v>
      </c>
      <c r="AN64" s="51">
        <v>123.6</v>
      </c>
      <c r="AO64" s="51">
        <v>124</v>
      </c>
      <c r="AP64" s="51">
        <v>124.3</v>
      </c>
      <c r="AQ64" s="51">
        <v>124.7</v>
      </c>
      <c r="AR64" s="51">
        <v>124.8</v>
      </c>
      <c r="AS64" s="51">
        <v>124.8</v>
      </c>
      <c r="AT64" s="51">
        <v>124.9</v>
      </c>
      <c r="AU64" s="51">
        <v>125</v>
      </c>
      <c r="AV64" s="51">
        <v>125.9</v>
      </c>
      <c r="AW64" s="51">
        <v>126.8</v>
      </c>
      <c r="AX64" s="51">
        <v>127.6</v>
      </c>
      <c r="AY64" s="51">
        <v>128.1</v>
      </c>
      <c r="AZ64" s="51">
        <v>128.69999999999999</v>
      </c>
      <c r="BA64" s="51">
        <v>130.19999999999999</v>
      </c>
      <c r="BB64" s="51">
        <v>131.6</v>
      </c>
      <c r="BC64" s="51">
        <v>132.19999999999999</v>
      </c>
      <c r="BD64" s="51">
        <v>132.80000000000001</v>
      </c>
      <c r="BE64" s="51">
        <v>132.69999999999999</v>
      </c>
      <c r="BF64" s="51">
        <v>132.69999999999999</v>
      </c>
      <c r="BG64" s="51">
        <v>132.6</v>
      </c>
      <c r="BH64" s="51">
        <v>132.9</v>
      </c>
      <c r="BI64" s="51">
        <v>132.80000000000001</v>
      </c>
      <c r="BJ64" s="51">
        <v>133.19999999999999</v>
      </c>
      <c r="BK64" s="51">
        <v>133.6</v>
      </c>
      <c r="BL64" s="51">
        <v>133.9</v>
      </c>
      <c r="BM64" s="51">
        <v>134.30000000000001</v>
      </c>
      <c r="BN64" s="51">
        <v>134.4</v>
      </c>
      <c r="BO64" s="51">
        <v>134.6</v>
      </c>
      <c r="BP64" s="51">
        <v>134.80000000000001</v>
      </c>
      <c r="BQ64" s="51">
        <v>135</v>
      </c>
      <c r="BR64" s="51">
        <v>135</v>
      </c>
      <c r="BS64" s="51">
        <v>135</v>
      </c>
      <c r="BT64" s="51">
        <v>135.30000000000001</v>
      </c>
      <c r="BU64" s="51">
        <v>135.6</v>
      </c>
      <c r="BV64" s="51">
        <v>136.5</v>
      </c>
      <c r="BW64" s="51">
        <v>137</v>
      </c>
      <c r="BX64" s="51">
        <v>137.6</v>
      </c>
      <c r="BY64" s="51">
        <v>138.1</v>
      </c>
      <c r="BZ64" s="51">
        <v>138.5</v>
      </c>
      <c r="CA64" s="51">
        <v>138.30000000000001</v>
      </c>
      <c r="CB64" s="51">
        <v>139.4</v>
      </c>
      <c r="CC64" s="51">
        <v>139.69999999999999</v>
      </c>
      <c r="CD64" s="51">
        <v>140.05000000000001</v>
      </c>
      <c r="CE64" s="51">
        <v>140.4</v>
      </c>
      <c r="CF64" s="51">
        <v>140.69999999999999</v>
      </c>
      <c r="CG64" s="51">
        <v>141.4</v>
      </c>
      <c r="CH64" s="51">
        <v>142.1</v>
      </c>
      <c r="CI64" s="51">
        <v>142.69999999999999</v>
      </c>
      <c r="CJ64" s="51">
        <v>143.5</v>
      </c>
      <c r="CK64" s="51">
        <v>144.1</v>
      </c>
      <c r="CL64" s="51">
        <v>144.9</v>
      </c>
      <c r="CM64" s="51">
        <v>145.6</v>
      </c>
      <c r="CN64" s="51">
        <v>146.19999999999999</v>
      </c>
      <c r="CO64" s="51">
        <v>146.5</v>
      </c>
      <c r="CP64" s="51">
        <v>151.80000000000001</v>
      </c>
      <c r="CQ64" s="51">
        <v>152.25</v>
      </c>
      <c r="CR64" s="51">
        <v>152.69999999999999</v>
      </c>
      <c r="CS64" s="51">
        <v>152.69999999999999</v>
      </c>
      <c r="CT64" s="51">
        <v>151.6</v>
      </c>
      <c r="CU64" s="51">
        <v>151.5</v>
      </c>
      <c r="CV64" s="51">
        <v>150.6</v>
      </c>
      <c r="CW64" s="51">
        <v>149.69999999999999</v>
      </c>
      <c r="CX64" s="51">
        <v>149</v>
      </c>
      <c r="CY64" s="51">
        <v>148</v>
      </c>
      <c r="CZ64" s="51">
        <v>147.6</v>
      </c>
      <c r="DA64" s="51">
        <v>147.5</v>
      </c>
      <c r="DB64" s="51">
        <v>147.6</v>
      </c>
      <c r="DC64" s="51">
        <v>148.80000000000001</v>
      </c>
      <c r="DD64" s="51">
        <v>149.19999999999999</v>
      </c>
      <c r="DE64" s="51">
        <v>149.1</v>
      </c>
      <c r="DF64" s="51">
        <v>149.30000000000001</v>
      </c>
      <c r="DG64" s="51">
        <v>149.30000000000001</v>
      </c>
      <c r="DH64" s="51">
        <v>150.1</v>
      </c>
      <c r="DI64" s="51">
        <v>151</v>
      </c>
      <c r="DJ64" s="51">
        <v>151.6</v>
      </c>
      <c r="DK64" s="51">
        <v>152.19999999999999</v>
      </c>
      <c r="DL64" s="51">
        <v>152.5</v>
      </c>
      <c r="DM64" s="51">
        <v>153.69999999999999</v>
      </c>
      <c r="DN64" s="51">
        <v>155.4</v>
      </c>
      <c r="DO64" s="51">
        <v>156.69999999999999</v>
      </c>
      <c r="DP64" s="51">
        <v>157.5</v>
      </c>
      <c r="DQ64" s="51">
        <v>159.30000000000001</v>
      </c>
      <c r="DR64" s="51">
        <v>162.1</v>
      </c>
      <c r="DS64" s="51">
        <v>164.9</v>
      </c>
      <c r="DT64" s="51">
        <v>166.4</v>
      </c>
      <c r="DU64" s="51">
        <v>168.4</v>
      </c>
      <c r="DV64" s="51">
        <v>170.2</v>
      </c>
      <c r="DW64" s="51">
        <v>173.3</v>
      </c>
      <c r="DX64" s="51">
        <v>174.7</v>
      </c>
      <c r="DY64" s="51">
        <v>174.7</v>
      </c>
      <c r="DZ64" s="51">
        <v>174.8</v>
      </c>
      <c r="EA64" s="51">
        <v>174.7</v>
      </c>
    </row>
    <row r="65" spans="4:131" x14ac:dyDescent="0.35">
      <c r="D65" s="50" t="s">
        <v>4</v>
      </c>
      <c r="E65" s="51" t="s">
        <v>59</v>
      </c>
      <c r="F65" s="51" t="s">
        <v>33</v>
      </c>
      <c r="G65" s="51">
        <v>109.1</v>
      </c>
      <c r="H65" s="51">
        <v>112.9</v>
      </c>
      <c r="I65" s="51">
        <v>111.4</v>
      </c>
      <c r="J65" s="51">
        <v>113.4</v>
      </c>
      <c r="K65" s="51">
        <v>114.2</v>
      </c>
      <c r="L65" s="51">
        <v>120.1</v>
      </c>
      <c r="M65" s="51">
        <v>119.2</v>
      </c>
      <c r="N65" s="51">
        <v>120.4</v>
      </c>
      <c r="O65" s="51">
        <v>119.1</v>
      </c>
      <c r="P65" s="51">
        <v>118.1</v>
      </c>
      <c r="Q65" s="51">
        <v>116.3</v>
      </c>
      <c r="R65" s="51">
        <v>118.1</v>
      </c>
      <c r="S65" s="51">
        <v>122</v>
      </c>
      <c r="T65" s="51">
        <v>122</v>
      </c>
      <c r="U65" s="51">
        <v>121.4</v>
      </c>
      <c r="V65" s="51">
        <v>121.7</v>
      </c>
      <c r="W65" s="51">
        <v>124.1</v>
      </c>
      <c r="X65" s="51">
        <v>125.9</v>
      </c>
      <c r="Y65" s="51">
        <v>126.4</v>
      </c>
      <c r="Z65" s="51">
        <v>127.3</v>
      </c>
      <c r="AA65" s="51">
        <v>125.4</v>
      </c>
      <c r="AB65" s="51">
        <v>126.1</v>
      </c>
      <c r="AC65" s="51">
        <v>125.6</v>
      </c>
      <c r="AD65" s="51">
        <v>124.7</v>
      </c>
      <c r="AE65" s="51">
        <v>125.5</v>
      </c>
      <c r="AF65" s="51">
        <v>126.5</v>
      </c>
      <c r="AG65" s="51">
        <v>126.7</v>
      </c>
      <c r="AH65" s="51">
        <v>128.19999999999999</v>
      </c>
      <c r="AI65" s="51">
        <v>129.69999999999999</v>
      </c>
      <c r="AJ65" s="51">
        <v>134.4</v>
      </c>
      <c r="AK65" s="51">
        <v>134.30000000000001</v>
      </c>
      <c r="AL65" s="51">
        <v>131.69999999999999</v>
      </c>
      <c r="AM65" s="51">
        <v>129</v>
      </c>
      <c r="AN65" s="51">
        <v>128.6</v>
      </c>
      <c r="AO65" s="51">
        <v>129.80000000000001</v>
      </c>
      <c r="AP65" s="51">
        <v>131.69999999999999</v>
      </c>
      <c r="AQ65" s="51">
        <v>135.9</v>
      </c>
      <c r="AR65" s="51">
        <v>135.1</v>
      </c>
      <c r="AS65" s="51">
        <v>136.30000000000001</v>
      </c>
      <c r="AT65" s="51">
        <v>139.30000000000001</v>
      </c>
      <c r="AU65" s="51">
        <v>142.1</v>
      </c>
      <c r="AV65" s="51">
        <v>143.9</v>
      </c>
      <c r="AW65" s="51">
        <v>144.19999999999999</v>
      </c>
      <c r="AX65" s="51">
        <v>140.30000000000001</v>
      </c>
      <c r="AY65" s="51">
        <v>137.69999999999999</v>
      </c>
      <c r="AZ65" s="51">
        <v>138.4</v>
      </c>
      <c r="BA65" s="51">
        <v>138.5</v>
      </c>
      <c r="BB65" s="51">
        <v>138.19999999999999</v>
      </c>
      <c r="BC65" s="51">
        <v>138.9</v>
      </c>
      <c r="BD65" s="51">
        <v>139.80000000000001</v>
      </c>
      <c r="BE65" s="51">
        <v>139.4</v>
      </c>
      <c r="BF65" s="51">
        <v>140.6</v>
      </c>
      <c r="BG65" s="51">
        <v>144.1</v>
      </c>
      <c r="BH65" s="51">
        <v>148.69999999999999</v>
      </c>
      <c r="BI65" s="51">
        <v>148.4</v>
      </c>
      <c r="BJ65" s="51">
        <v>143.9</v>
      </c>
      <c r="BK65" s="51">
        <v>143</v>
      </c>
      <c r="BL65" s="51">
        <v>142.80000000000001</v>
      </c>
      <c r="BM65" s="51">
        <v>142.1</v>
      </c>
      <c r="BN65" s="51">
        <v>142.6</v>
      </c>
      <c r="BO65" s="51">
        <v>143.69999999999999</v>
      </c>
      <c r="BP65" s="51">
        <v>143</v>
      </c>
      <c r="BQ65" s="51">
        <v>143.1</v>
      </c>
      <c r="BR65" s="51">
        <v>144.30000000000001</v>
      </c>
      <c r="BS65" s="51">
        <v>148.19999999999999</v>
      </c>
      <c r="BT65" s="51">
        <v>149.69999999999999</v>
      </c>
      <c r="BU65" s="51">
        <v>148.6</v>
      </c>
      <c r="BV65" s="51">
        <v>146.4</v>
      </c>
      <c r="BW65" s="51">
        <v>143.1</v>
      </c>
      <c r="BX65" s="51">
        <v>144.9</v>
      </c>
      <c r="BY65" s="51">
        <v>146.30000000000001</v>
      </c>
      <c r="BZ65" s="51">
        <v>147.80000000000001</v>
      </c>
      <c r="CA65" s="51">
        <v>149.4</v>
      </c>
      <c r="CB65" s="51">
        <v>150.1</v>
      </c>
      <c r="CC65" s="51">
        <v>151.1</v>
      </c>
      <c r="CD65" s="51">
        <v>153.89999999999998</v>
      </c>
      <c r="CE65" s="51">
        <v>156.69999999999999</v>
      </c>
      <c r="CF65" s="51">
        <v>159.6</v>
      </c>
      <c r="CG65" s="51">
        <v>160.19999999999999</v>
      </c>
      <c r="CH65" s="51">
        <v>158.30000000000001</v>
      </c>
      <c r="CI65" s="51">
        <v>158.69999999999999</v>
      </c>
      <c r="CJ65" s="51">
        <v>159.80000000000001</v>
      </c>
      <c r="CK65" s="51">
        <v>162.4</v>
      </c>
      <c r="CL65" s="51">
        <v>164.5</v>
      </c>
      <c r="CM65" s="51">
        <v>167.6</v>
      </c>
      <c r="CN65" s="51">
        <v>167.6</v>
      </c>
      <c r="CO65" s="51">
        <v>167.5</v>
      </c>
      <c r="CP65" s="51">
        <v>177.33333333333334</v>
      </c>
      <c r="CQ65" s="51">
        <v>187.16666666666666</v>
      </c>
      <c r="CR65" s="51">
        <v>197</v>
      </c>
      <c r="CS65" s="51">
        <v>197</v>
      </c>
      <c r="CT65" s="51">
        <v>197.8</v>
      </c>
      <c r="CU65" s="51">
        <v>193.1</v>
      </c>
      <c r="CV65" s="51">
        <v>193.7</v>
      </c>
      <c r="CW65" s="51">
        <v>195.5</v>
      </c>
      <c r="CX65" s="51">
        <v>195.7</v>
      </c>
      <c r="CY65" s="51">
        <v>194.8</v>
      </c>
      <c r="CZ65" s="51">
        <v>191.2</v>
      </c>
      <c r="DA65" s="51">
        <v>197.5</v>
      </c>
      <c r="DB65" s="51">
        <v>202.5</v>
      </c>
      <c r="DC65" s="51">
        <v>204.3</v>
      </c>
      <c r="DD65" s="51">
        <v>205.5</v>
      </c>
      <c r="DE65" s="51">
        <v>210.9</v>
      </c>
      <c r="DF65" s="51">
        <v>207.4</v>
      </c>
      <c r="DG65" s="51">
        <v>207.4</v>
      </c>
      <c r="DH65" s="51">
        <v>208.4</v>
      </c>
      <c r="DI65" s="51">
        <v>204.9</v>
      </c>
      <c r="DJ65" s="51">
        <v>202.2</v>
      </c>
      <c r="DK65" s="51">
        <v>202.1</v>
      </c>
      <c r="DL65" s="51">
        <v>205.2</v>
      </c>
      <c r="DM65" s="51">
        <v>215.8</v>
      </c>
      <c r="DN65" s="51">
        <v>215.8</v>
      </c>
      <c r="DO65" s="51">
        <v>221.2</v>
      </c>
      <c r="DP65" s="51">
        <v>223.4</v>
      </c>
      <c r="DQ65" s="51">
        <v>217.1</v>
      </c>
      <c r="DR65" s="51">
        <v>210.9</v>
      </c>
      <c r="DS65" s="51">
        <v>213.7</v>
      </c>
      <c r="DT65" s="51">
        <v>214.9</v>
      </c>
      <c r="DU65" s="51">
        <v>213.4</v>
      </c>
      <c r="DV65" s="51">
        <v>212.9</v>
      </c>
      <c r="DW65" s="51">
        <v>215.2</v>
      </c>
      <c r="DX65" s="51">
        <v>212.2</v>
      </c>
      <c r="DY65" s="51">
        <v>212.2</v>
      </c>
      <c r="DZ65" s="51">
        <v>213.7</v>
      </c>
      <c r="EA65" s="51">
        <v>219.4</v>
      </c>
    </row>
    <row r="66" spans="4:131" x14ac:dyDescent="0.35">
      <c r="D66" s="50" t="s">
        <v>5</v>
      </c>
      <c r="E66" s="51" t="s">
        <v>59</v>
      </c>
      <c r="F66" s="51" t="s">
        <v>33</v>
      </c>
      <c r="G66" s="51">
        <v>113</v>
      </c>
      <c r="H66" s="51">
        <v>116.9</v>
      </c>
      <c r="I66" s="51">
        <v>113.2</v>
      </c>
      <c r="J66" s="51">
        <v>106</v>
      </c>
      <c r="K66" s="51">
        <v>102.7</v>
      </c>
      <c r="L66" s="51">
        <v>112.5</v>
      </c>
      <c r="M66" s="51">
        <v>114</v>
      </c>
      <c r="N66" s="51">
        <v>112.7</v>
      </c>
      <c r="O66" s="51">
        <v>113.2</v>
      </c>
      <c r="P66" s="51">
        <v>114.5</v>
      </c>
      <c r="Q66" s="51">
        <v>122.6</v>
      </c>
      <c r="R66" s="51">
        <v>128.5</v>
      </c>
      <c r="S66" s="51">
        <v>129.9</v>
      </c>
      <c r="T66" s="51">
        <v>124.5</v>
      </c>
      <c r="U66" s="51">
        <v>121.5</v>
      </c>
      <c r="V66" s="51">
        <v>113.3</v>
      </c>
      <c r="W66" s="51">
        <v>114.2</v>
      </c>
      <c r="X66" s="51">
        <v>115.4</v>
      </c>
      <c r="Y66" s="51">
        <v>118</v>
      </c>
      <c r="Z66" s="51">
        <v>116.5</v>
      </c>
      <c r="AA66" s="51">
        <v>116.4</v>
      </c>
      <c r="AB66" s="51">
        <v>117.8</v>
      </c>
      <c r="AC66" s="51">
        <v>122.7</v>
      </c>
      <c r="AD66" s="51">
        <v>126.3</v>
      </c>
      <c r="AE66" s="51">
        <v>126.6</v>
      </c>
      <c r="AF66" s="51">
        <v>119.5</v>
      </c>
      <c r="AG66" s="51">
        <v>113.5</v>
      </c>
      <c r="AH66" s="51">
        <v>110</v>
      </c>
      <c r="AI66" s="51">
        <v>111.3</v>
      </c>
      <c r="AJ66" s="51">
        <v>120.9</v>
      </c>
      <c r="AK66" s="51">
        <v>119.5</v>
      </c>
      <c r="AL66" s="51">
        <v>118.1</v>
      </c>
      <c r="AM66" s="51">
        <v>115.6</v>
      </c>
      <c r="AN66" s="51">
        <v>115.9</v>
      </c>
      <c r="AO66" s="51">
        <v>121.5</v>
      </c>
      <c r="AP66" s="51">
        <v>127.1</v>
      </c>
      <c r="AQ66" s="51">
        <v>132</v>
      </c>
      <c r="AR66" s="51">
        <v>130.30000000000001</v>
      </c>
      <c r="AS66" s="51">
        <v>123.7</v>
      </c>
      <c r="AT66" s="51">
        <v>119.9</v>
      </c>
      <c r="AU66" s="51">
        <v>127</v>
      </c>
      <c r="AV66" s="51">
        <v>130.9</v>
      </c>
      <c r="AW66" s="51">
        <v>136.6</v>
      </c>
      <c r="AX66" s="51">
        <v>133.69999999999999</v>
      </c>
      <c r="AY66" s="51">
        <v>130.6</v>
      </c>
      <c r="AZ66" s="51">
        <v>130.30000000000001</v>
      </c>
      <c r="BA66" s="51">
        <v>134.1</v>
      </c>
      <c r="BB66" s="51">
        <v>134.9</v>
      </c>
      <c r="BC66" s="51">
        <v>132.6</v>
      </c>
      <c r="BD66" s="51">
        <v>129.30000000000001</v>
      </c>
      <c r="BE66" s="51">
        <v>128.4</v>
      </c>
      <c r="BF66" s="51">
        <v>124.5</v>
      </c>
      <c r="BG66" s="51">
        <v>125.6</v>
      </c>
      <c r="BH66" s="51">
        <v>128.30000000000001</v>
      </c>
      <c r="BI66" s="51">
        <v>129.4</v>
      </c>
      <c r="BJ66" s="51">
        <v>128.30000000000001</v>
      </c>
      <c r="BK66" s="51">
        <v>129.69999999999999</v>
      </c>
      <c r="BL66" s="51">
        <v>131.4</v>
      </c>
      <c r="BM66" s="51">
        <v>146.69999999999999</v>
      </c>
      <c r="BN66" s="51">
        <v>145.9</v>
      </c>
      <c r="BO66" s="51">
        <v>143.6</v>
      </c>
      <c r="BP66" s="51">
        <v>139.9</v>
      </c>
      <c r="BQ66" s="51">
        <v>135.5</v>
      </c>
      <c r="BR66" s="51">
        <v>130.80000000000001</v>
      </c>
      <c r="BS66" s="51">
        <v>130.5</v>
      </c>
      <c r="BT66" s="51">
        <v>133.9</v>
      </c>
      <c r="BU66" s="51">
        <v>139.1</v>
      </c>
      <c r="BV66" s="51">
        <v>136.6</v>
      </c>
      <c r="BW66" s="51">
        <v>132.80000000000001</v>
      </c>
      <c r="BX66" s="51">
        <v>133.5</v>
      </c>
      <c r="BY66" s="51">
        <v>137.80000000000001</v>
      </c>
      <c r="BZ66" s="51">
        <v>141.1</v>
      </c>
      <c r="CA66" s="51">
        <v>143.5</v>
      </c>
      <c r="CB66" s="51">
        <v>145.30000000000001</v>
      </c>
      <c r="CC66" s="51">
        <v>142.9</v>
      </c>
      <c r="CD66" s="51">
        <v>140.60000000000002</v>
      </c>
      <c r="CE66" s="51">
        <v>138.30000000000001</v>
      </c>
      <c r="CF66" s="51">
        <v>140.4</v>
      </c>
      <c r="CG66" s="51">
        <v>142.5</v>
      </c>
      <c r="CH66" s="51">
        <v>140.80000000000001</v>
      </c>
      <c r="CI66" s="51">
        <v>141.6</v>
      </c>
      <c r="CJ66" s="51">
        <v>144.69999999999999</v>
      </c>
      <c r="CK66" s="51">
        <v>148.4</v>
      </c>
      <c r="CL66" s="51">
        <v>153.69999999999999</v>
      </c>
      <c r="CM66" s="51">
        <v>157</v>
      </c>
      <c r="CN66" s="51">
        <v>153.1</v>
      </c>
      <c r="CO66" s="51">
        <v>148.9</v>
      </c>
      <c r="CP66" s="51">
        <v>151.9</v>
      </c>
      <c r="CQ66" s="51">
        <v>153.25</v>
      </c>
      <c r="CR66" s="51">
        <v>154.6</v>
      </c>
      <c r="CS66" s="51">
        <v>154.6</v>
      </c>
      <c r="CT66" s="51">
        <v>154.5</v>
      </c>
      <c r="CU66" s="51">
        <v>157.30000000000001</v>
      </c>
      <c r="CV66" s="51">
        <v>164.8</v>
      </c>
      <c r="CW66" s="51">
        <v>176.9</v>
      </c>
      <c r="CX66" s="51">
        <v>178.3</v>
      </c>
      <c r="CY66" s="51">
        <v>178.4</v>
      </c>
      <c r="CZ66" s="51">
        <v>169.9</v>
      </c>
      <c r="DA66" s="51">
        <v>164.7</v>
      </c>
      <c r="DB66" s="51">
        <v>166.4</v>
      </c>
      <c r="DC66" s="51">
        <v>173</v>
      </c>
      <c r="DD66" s="51">
        <v>182.8</v>
      </c>
      <c r="DE66" s="51">
        <v>185</v>
      </c>
      <c r="DF66" s="51">
        <v>174.1</v>
      </c>
      <c r="DG66" s="51">
        <v>174.1</v>
      </c>
      <c r="DH66" s="51">
        <v>173</v>
      </c>
      <c r="DI66" s="51">
        <v>175.4</v>
      </c>
      <c r="DJ66" s="51">
        <v>180</v>
      </c>
      <c r="DK66" s="51">
        <v>180.1</v>
      </c>
      <c r="DL66" s="51">
        <v>176.4</v>
      </c>
      <c r="DM66" s="51">
        <v>167.7</v>
      </c>
      <c r="DN66" s="51">
        <v>164.6</v>
      </c>
      <c r="DO66" s="51">
        <v>164.1</v>
      </c>
      <c r="DP66" s="51">
        <v>172.8</v>
      </c>
      <c r="DQ66" s="51">
        <v>176.6</v>
      </c>
      <c r="DR66" s="51">
        <v>170.6</v>
      </c>
      <c r="DS66" s="51">
        <v>170.9</v>
      </c>
      <c r="DT66" s="51">
        <v>171.9</v>
      </c>
      <c r="DU66" s="51">
        <v>183.2</v>
      </c>
      <c r="DV66" s="51">
        <v>191.9</v>
      </c>
      <c r="DW66" s="51">
        <v>197</v>
      </c>
      <c r="DX66" s="51">
        <v>177.2</v>
      </c>
      <c r="DY66" s="51">
        <v>177.2</v>
      </c>
      <c r="DZ66" s="51">
        <v>172.4</v>
      </c>
      <c r="EA66" s="51">
        <v>176.7</v>
      </c>
    </row>
    <row r="67" spans="4:131" x14ac:dyDescent="0.35">
      <c r="D67" s="50" t="s">
        <v>6</v>
      </c>
      <c r="E67" s="51" t="s">
        <v>59</v>
      </c>
      <c r="F67" s="51" t="s">
        <v>33</v>
      </c>
      <c r="G67" s="51">
        <v>103.6</v>
      </c>
      <c r="H67" s="51">
        <v>104</v>
      </c>
      <c r="I67" s="51">
        <v>104.3</v>
      </c>
      <c r="J67" s="51">
        <v>104.7</v>
      </c>
      <c r="K67" s="51">
        <v>105.5</v>
      </c>
      <c r="L67" s="51">
        <v>107.3</v>
      </c>
      <c r="M67" s="51">
        <v>108.3</v>
      </c>
      <c r="N67" s="51">
        <v>108.9</v>
      </c>
      <c r="O67" s="51">
        <v>109.6</v>
      </c>
      <c r="P67" s="51">
        <v>110.4</v>
      </c>
      <c r="Q67" s="51">
        <v>112</v>
      </c>
      <c r="R67" s="51">
        <v>112.8</v>
      </c>
      <c r="S67" s="51">
        <v>113.6</v>
      </c>
      <c r="T67" s="51">
        <v>115.2</v>
      </c>
      <c r="U67" s="51">
        <v>116.2</v>
      </c>
      <c r="V67" s="51">
        <v>117</v>
      </c>
      <c r="W67" s="51">
        <v>119.1</v>
      </c>
      <c r="X67" s="51">
        <v>120.4</v>
      </c>
      <c r="Y67" s="51">
        <v>121.6</v>
      </c>
      <c r="Z67" s="51">
        <v>122.2</v>
      </c>
      <c r="AA67" s="51">
        <v>122.7</v>
      </c>
      <c r="AB67" s="51">
        <v>123.1</v>
      </c>
      <c r="AC67" s="51">
        <v>124.6</v>
      </c>
      <c r="AD67" s="51">
        <v>124.9</v>
      </c>
      <c r="AE67" s="51">
        <v>125.2</v>
      </c>
      <c r="AF67" s="51">
        <v>125.6</v>
      </c>
      <c r="AG67" s="51">
        <v>125.9</v>
      </c>
      <c r="AH67" s="51">
        <v>126.3</v>
      </c>
      <c r="AI67" s="51">
        <v>126.6</v>
      </c>
      <c r="AJ67" s="51">
        <v>127.3</v>
      </c>
      <c r="AK67" s="51">
        <v>127.7</v>
      </c>
      <c r="AL67" s="51">
        <v>128</v>
      </c>
      <c r="AM67" s="51">
        <v>128.30000000000001</v>
      </c>
      <c r="AN67" s="51">
        <v>128.5</v>
      </c>
      <c r="AO67" s="51">
        <v>128.6</v>
      </c>
      <c r="AP67" s="51">
        <v>128.6</v>
      </c>
      <c r="AQ67" s="51">
        <v>129.19999999999999</v>
      </c>
      <c r="AR67" s="51">
        <v>129.6</v>
      </c>
      <c r="AS67" s="51">
        <v>129.69999999999999</v>
      </c>
      <c r="AT67" s="51">
        <v>130.19999999999999</v>
      </c>
      <c r="AU67" s="51">
        <v>130.4</v>
      </c>
      <c r="AV67" s="51">
        <v>131</v>
      </c>
      <c r="AW67" s="51">
        <v>131.80000000000001</v>
      </c>
      <c r="AX67" s="51">
        <v>132.19999999999999</v>
      </c>
      <c r="AY67" s="51">
        <v>132.6</v>
      </c>
      <c r="AZ67" s="51">
        <v>132.69999999999999</v>
      </c>
      <c r="BA67" s="51">
        <v>132.9</v>
      </c>
      <c r="BB67" s="51">
        <v>133.1</v>
      </c>
      <c r="BC67" s="51">
        <v>133.1</v>
      </c>
      <c r="BD67" s="51">
        <v>133.5</v>
      </c>
      <c r="BE67" s="51">
        <v>134.9</v>
      </c>
      <c r="BF67" s="51">
        <v>136.30000000000001</v>
      </c>
      <c r="BG67" s="51">
        <v>136.80000000000001</v>
      </c>
      <c r="BH67" s="51">
        <v>137.30000000000001</v>
      </c>
      <c r="BI67" s="51">
        <v>137.69999999999999</v>
      </c>
      <c r="BJ67" s="51">
        <v>138.30000000000001</v>
      </c>
      <c r="BK67" s="51">
        <v>138.69999999999999</v>
      </c>
      <c r="BL67" s="51">
        <v>139.1</v>
      </c>
      <c r="BM67" s="51">
        <v>139.5</v>
      </c>
      <c r="BN67" s="51">
        <v>139.5</v>
      </c>
      <c r="BO67" s="51">
        <v>139.6</v>
      </c>
      <c r="BP67" s="51">
        <v>139.9</v>
      </c>
      <c r="BQ67" s="51">
        <v>139.9</v>
      </c>
      <c r="BR67" s="51">
        <v>140.30000000000001</v>
      </c>
      <c r="BS67" s="51">
        <v>140.69999999999999</v>
      </c>
      <c r="BT67" s="51">
        <v>140.80000000000001</v>
      </c>
      <c r="BU67" s="51">
        <v>141</v>
      </c>
      <c r="BV67" s="51">
        <v>141.19999999999999</v>
      </c>
      <c r="BW67" s="51">
        <v>141.5</v>
      </c>
      <c r="BX67" s="51">
        <v>141.5</v>
      </c>
      <c r="BY67" s="51">
        <v>141.6</v>
      </c>
      <c r="BZ67" s="51">
        <v>141.6</v>
      </c>
      <c r="CA67" s="51">
        <v>141.69999999999999</v>
      </c>
      <c r="CB67" s="51">
        <v>141.69999999999999</v>
      </c>
      <c r="CC67" s="51">
        <v>141.9</v>
      </c>
      <c r="CD67" s="51">
        <v>142.15</v>
      </c>
      <c r="CE67" s="51">
        <v>142.4</v>
      </c>
      <c r="CF67" s="51">
        <v>143.4</v>
      </c>
      <c r="CG67" s="51">
        <v>144.1</v>
      </c>
      <c r="CH67" s="51">
        <v>144.9</v>
      </c>
      <c r="CI67" s="51">
        <v>144.9</v>
      </c>
      <c r="CJ67" s="51">
        <v>145.6</v>
      </c>
      <c r="CK67" s="51">
        <v>145.9</v>
      </c>
      <c r="CL67" s="51">
        <v>147.5</v>
      </c>
      <c r="CM67" s="51">
        <v>149.30000000000001</v>
      </c>
      <c r="CN67" s="51">
        <v>150.69999999999999</v>
      </c>
      <c r="CO67" s="51">
        <v>151.1</v>
      </c>
      <c r="CP67" s="51">
        <v>155.5</v>
      </c>
      <c r="CQ67" s="51">
        <v>154.44999999999999</v>
      </c>
      <c r="CR67" s="51">
        <v>153.4</v>
      </c>
      <c r="CS67" s="51">
        <v>153.4</v>
      </c>
      <c r="CT67" s="51">
        <v>153.4</v>
      </c>
      <c r="CU67" s="51">
        <v>153.9</v>
      </c>
      <c r="CV67" s="51">
        <v>153.69999999999999</v>
      </c>
      <c r="CW67" s="51">
        <v>153.9</v>
      </c>
      <c r="CX67" s="51">
        <v>154.19999999999999</v>
      </c>
      <c r="CY67" s="51">
        <v>154.4</v>
      </c>
      <c r="CZ67" s="51">
        <v>155.1</v>
      </c>
      <c r="DA67" s="51">
        <v>155.6</v>
      </c>
      <c r="DB67" s="51">
        <v>156</v>
      </c>
      <c r="DC67" s="51">
        <v>156.5</v>
      </c>
      <c r="DD67" s="51">
        <v>156.5</v>
      </c>
      <c r="DE67" s="51">
        <v>158.19999999999999</v>
      </c>
      <c r="DF67" s="51">
        <v>159.19999999999999</v>
      </c>
      <c r="DG67" s="51">
        <v>159.1</v>
      </c>
      <c r="DH67" s="51">
        <v>159.19999999999999</v>
      </c>
      <c r="DI67" s="51">
        <v>159.6</v>
      </c>
      <c r="DJ67" s="51">
        <v>160</v>
      </c>
      <c r="DK67" s="51">
        <v>160.4</v>
      </c>
      <c r="DL67" s="51">
        <v>160.6</v>
      </c>
      <c r="DM67" s="51">
        <v>162.6</v>
      </c>
      <c r="DN67" s="51">
        <v>164.2</v>
      </c>
      <c r="DO67" s="51">
        <v>165.4</v>
      </c>
      <c r="DP67" s="51">
        <v>166.4</v>
      </c>
      <c r="DQ67" s="51">
        <v>167.1</v>
      </c>
      <c r="DR67" s="51">
        <v>168.4</v>
      </c>
      <c r="DS67" s="51">
        <v>170.1</v>
      </c>
      <c r="DT67" s="51">
        <v>171</v>
      </c>
      <c r="DU67" s="51">
        <v>172.3</v>
      </c>
      <c r="DV67" s="51">
        <v>173.9</v>
      </c>
      <c r="DW67" s="51">
        <v>175.2</v>
      </c>
      <c r="DX67" s="51">
        <v>177.9</v>
      </c>
      <c r="DY67" s="51">
        <v>177.9</v>
      </c>
      <c r="DZ67" s="51">
        <v>178.8</v>
      </c>
      <c r="EA67" s="51">
        <v>179.4</v>
      </c>
    </row>
    <row r="68" spans="4:131" x14ac:dyDescent="0.35">
      <c r="D68" s="50" t="s">
        <v>7</v>
      </c>
      <c r="E68" s="51" t="s">
        <v>59</v>
      </c>
      <c r="F68" s="51" t="s">
        <v>33</v>
      </c>
      <c r="G68" s="51">
        <v>103.4</v>
      </c>
      <c r="H68" s="51">
        <v>103.5</v>
      </c>
      <c r="I68" s="51">
        <v>102.7</v>
      </c>
      <c r="J68" s="51">
        <v>102.1</v>
      </c>
      <c r="K68" s="51">
        <v>101.5</v>
      </c>
      <c r="L68" s="51">
        <v>101.3</v>
      </c>
      <c r="M68" s="51">
        <v>101.1</v>
      </c>
      <c r="N68" s="51">
        <v>101.1</v>
      </c>
      <c r="O68" s="51">
        <v>101.7</v>
      </c>
      <c r="P68" s="51">
        <v>102.3</v>
      </c>
      <c r="Q68" s="51">
        <v>103.2</v>
      </c>
      <c r="R68" s="51">
        <v>103.4</v>
      </c>
      <c r="S68" s="51">
        <v>102.9</v>
      </c>
      <c r="T68" s="51">
        <v>102.5</v>
      </c>
      <c r="U68" s="51">
        <v>102.8</v>
      </c>
      <c r="V68" s="51">
        <v>103.1</v>
      </c>
      <c r="W68" s="51">
        <v>103.5</v>
      </c>
      <c r="X68" s="51">
        <v>103.4</v>
      </c>
      <c r="Y68" s="51">
        <v>103.5</v>
      </c>
      <c r="Z68" s="51">
        <v>103.6</v>
      </c>
      <c r="AA68" s="51">
        <v>103.5</v>
      </c>
      <c r="AB68" s="51">
        <v>103.5</v>
      </c>
      <c r="AC68" s="51">
        <v>103.2</v>
      </c>
      <c r="AD68" s="51">
        <v>103</v>
      </c>
      <c r="AE68" s="51">
        <v>104.3</v>
      </c>
      <c r="AF68" s="51">
        <v>104.9</v>
      </c>
      <c r="AG68" s="51">
        <v>104.8</v>
      </c>
      <c r="AH68" s="51">
        <v>104.5</v>
      </c>
      <c r="AI68" s="51">
        <v>105.2</v>
      </c>
      <c r="AJ68" s="51">
        <v>106</v>
      </c>
      <c r="AK68" s="51">
        <v>106.3</v>
      </c>
      <c r="AL68" s="51">
        <v>106.8</v>
      </c>
      <c r="AM68" s="51">
        <v>107</v>
      </c>
      <c r="AN68" s="51">
        <v>109</v>
      </c>
      <c r="AO68" s="51">
        <v>110</v>
      </c>
      <c r="AP68" s="51">
        <v>110</v>
      </c>
      <c r="AQ68" s="51">
        <v>109.7</v>
      </c>
      <c r="AR68" s="51">
        <v>108.4</v>
      </c>
      <c r="AS68" s="51">
        <v>107.9</v>
      </c>
      <c r="AT68" s="51">
        <v>108.9</v>
      </c>
      <c r="AU68" s="51">
        <v>109.6</v>
      </c>
      <c r="AV68" s="51">
        <v>110.2</v>
      </c>
      <c r="AW68" s="51">
        <v>111</v>
      </c>
      <c r="AX68" s="51">
        <v>111.8</v>
      </c>
      <c r="AY68" s="51">
        <v>111.9</v>
      </c>
      <c r="AZ68" s="51">
        <v>112.5</v>
      </c>
      <c r="BA68" s="51">
        <v>112.6</v>
      </c>
      <c r="BB68" s="51">
        <v>113.5</v>
      </c>
      <c r="BC68" s="51">
        <v>114</v>
      </c>
      <c r="BD68" s="51">
        <v>114.3</v>
      </c>
      <c r="BE68" s="51">
        <v>114</v>
      </c>
      <c r="BF68" s="51">
        <v>113.5</v>
      </c>
      <c r="BG68" s="51">
        <v>113.4</v>
      </c>
      <c r="BH68" s="51">
        <v>113.5</v>
      </c>
      <c r="BI68" s="51">
        <v>113.4</v>
      </c>
      <c r="BJ68" s="51">
        <v>114.1</v>
      </c>
      <c r="BK68" s="51">
        <v>114.5</v>
      </c>
      <c r="BL68" s="51">
        <v>114.9</v>
      </c>
      <c r="BM68" s="51">
        <v>115.2</v>
      </c>
      <c r="BN68" s="51">
        <v>115.9</v>
      </c>
      <c r="BO68" s="51">
        <v>116.4</v>
      </c>
      <c r="BP68" s="51">
        <v>116.2</v>
      </c>
      <c r="BQ68" s="51">
        <v>116.5</v>
      </c>
      <c r="BR68" s="51">
        <v>116.6</v>
      </c>
      <c r="BS68" s="51">
        <v>116.4</v>
      </c>
      <c r="BT68" s="51">
        <v>116.6</v>
      </c>
      <c r="BU68" s="51">
        <v>116.7</v>
      </c>
      <c r="BV68" s="51">
        <v>117.4</v>
      </c>
      <c r="BW68" s="51">
        <v>117.8</v>
      </c>
      <c r="BX68" s="51">
        <v>118</v>
      </c>
      <c r="BY68" s="51">
        <v>118.1</v>
      </c>
      <c r="BZ68" s="51">
        <v>118.1</v>
      </c>
      <c r="CA68" s="51">
        <v>118.1</v>
      </c>
      <c r="CB68" s="51">
        <v>118.4</v>
      </c>
      <c r="CC68" s="51">
        <v>118.4</v>
      </c>
      <c r="CD68" s="51">
        <v>118.5</v>
      </c>
      <c r="CE68" s="51">
        <v>118.6</v>
      </c>
      <c r="CF68" s="51">
        <v>118.6</v>
      </c>
      <c r="CG68" s="51">
        <v>119.3</v>
      </c>
      <c r="CH68" s="51">
        <v>119.9</v>
      </c>
      <c r="CI68" s="51">
        <v>120.8</v>
      </c>
      <c r="CJ68" s="51">
        <v>121.1</v>
      </c>
      <c r="CK68" s="51">
        <v>121.5</v>
      </c>
      <c r="CL68" s="51">
        <v>122.7</v>
      </c>
      <c r="CM68" s="51">
        <v>126.3</v>
      </c>
      <c r="CN68" s="51">
        <v>127.4</v>
      </c>
      <c r="CO68" s="51">
        <v>127.5</v>
      </c>
      <c r="CP68" s="51">
        <v>131.6</v>
      </c>
      <c r="CQ68" s="51">
        <v>132.25</v>
      </c>
      <c r="CR68" s="51">
        <v>132.9</v>
      </c>
      <c r="CS68" s="51">
        <v>132.9</v>
      </c>
      <c r="CT68" s="51">
        <v>133.4</v>
      </c>
      <c r="CU68" s="51">
        <v>134.4</v>
      </c>
      <c r="CV68" s="51">
        <v>135.69999999999999</v>
      </c>
      <c r="CW68" s="51">
        <v>138</v>
      </c>
      <c r="CX68" s="51">
        <v>140.69999999999999</v>
      </c>
      <c r="CY68" s="51">
        <v>144.1</v>
      </c>
      <c r="CZ68" s="51">
        <v>151.4</v>
      </c>
      <c r="DA68" s="51">
        <v>156.4</v>
      </c>
      <c r="DB68" s="51">
        <v>161.4</v>
      </c>
      <c r="DC68" s="51">
        <v>168.8</v>
      </c>
      <c r="DD68" s="51">
        <v>172.2</v>
      </c>
      <c r="DE68" s="51">
        <v>170.6</v>
      </c>
      <c r="DF68" s="51">
        <v>175</v>
      </c>
      <c r="DG68" s="51">
        <v>175</v>
      </c>
      <c r="DH68" s="51">
        <v>176.6</v>
      </c>
      <c r="DI68" s="51">
        <v>175.8</v>
      </c>
      <c r="DJ68" s="51">
        <v>173.5</v>
      </c>
      <c r="DK68" s="51">
        <v>171</v>
      </c>
      <c r="DL68" s="51">
        <v>171.5</v>
      </c>
      <c r="DM68" s="51">
        <v>180</v>
      </c>
      <c r="DN68" s="51">
        <v>186</v>
      </c>
      <c r="DO68" s="51">
        <v>189.5</v>
      </c>
      <c r="DP68" s="51">
        <v>188.6</v>
      </c>
      <c r="DQ68" s="51">
        <v>184.8</v>
      </c>
      <c r="DR68" s="51">
        <v>182.5</v>
      </c>
      <c r="DS68" s="51">
        <v>179.3</v>
      </c>
      <c r="DT68" s="51">
        <v>177.7</v>
      </c>
      <c r="DU68" s="51">
        <v>180</v>
      </c>
      <c r="DV68" s="51">
        <v>179.1</v>
      </c>
      <c r="DW68" s="51">
        <v>178</v>
      </c>
      <c r="DX68" s="51">
        <v>172.2</v>
      </c>
      <c r="DY68" s="51">
        <v>172.2</v>
      </c>
      <c r="DZ68" s="51">
        <v>168.7</v>
      </c>
      <c r="EA68" s="51">
        <v>164.4</v>
      </c>
    </row>
    <row r="69" spans="4:131" x14ac:dyDescent="0.35">
      <c r="D69" s="50" t="s">
        <v>8</v>
      </c>
      <c r="E69" s="51" t="s">
        <v>59</v>
      </c>
      <c r="F69" s="51" t="s">
        <v>33</v>
      </c>
      <c r="G69" s="51">
        <v>102.3</v>
      </c>
      <c r="H69" s="51">
        <v>103.1</v>
      </c>
      <c r="I69" s="51">
        <v>104.9</v>
      </c>
      <c r="J69" s="51">
        <v>109.5</v>
      </c>
      <c r="K69" s="51">
        <v>110.6</v>
      </c>
      <c r="L69" s="51">
        <v>112.4</v>
      </c>
      <c r="M69" s="51">
        <v>113.2</v>
      </c>
      <c r="N69" s="51">
        <v>108.7</v>
      </c>
      <c r="O69" s="51">
        <v>103.2</v>
      </c>
      <c r="P69" s="51">
        <v>106.2</v>
      </c>
      <c r="Q69" s="51">
        <v>110</v>
      </c>
      <c r="R69" s="51">
        <v>110.7</v>
      </c>
      <c r="S69" s="51">
        <v>112.1</v>
      </c>
      <c r="T69" s="51">
        <v>114.1</v>
      </c>
      <c r="U69" s="51">
        <v>117.7</v>
      </c>
      <c r="V69" s="51">
        <v>126.7</v>
      </c>
      <c r="W69" s="51">
        <v>129.19999999999999</v>
      </c>
      <c r="X69" s="51">
        <v>131.19999999999999</v>
      </c>
      <c r="Y69" s="51">
        <v>133.69999999999999</v>
      </c>
      <c r="Z69" s="51">
        <v>132.69999999999999</v>
      </c>
      <c r="AA69" s="51">
        <v>124.5</v>
      </c>
      <c r="AB69" s="51">
        <v>123.5</v>
      </c>
      <c r="AC69" s="51">
        <v>122.2</v>
      </c>
      <c r="AD69" s="51">
        <v>122.3</v>
      </c>
      <c r="AE69" s="51">
        <v>121.3</v>
      </c>
      <c r="AF69" s="51">
        <v>121.6</v>
      </c>
      <c r="AG69" s="51">
        <v>123.8</v>
      </c>
      <c r="AH69" s="51">
        <v>130.6</v>
      </c>
      <c r="AI69" s="51">
        <v>130.80000000000001</v>
      </c>
      <c r="AJ69" s="51">
        <v>132.30000000000001</v>
      </c>
      <c r="AK69" s="51">
        <v>132.80000000000001</v>
      </c>
      <c r="AL69" s="51">
        <v>130.1</v>
      </c>
      <c r="AM69" s="51">
        <v>124</v>
      </c>
      <c r="AN69" s="51">
        <v>124.1</v>
      </c>
      <c r="AO69" s="51">
        <v>123.7</v>
      </c>
      <c r="AP69" s="51">
        <v>120.8</v>
      </c>
      <c r="AQ69" s="51">
        <v>119</v>
      </c>
      <c r="AR69" s="51">
        <v>118.6</v>
      </c>
      <c r="AS69" s="51">
        <v>119.9</v>
      </c>
      <c r="AT69" s="51">
        <v>131.1</v>
      </c>
      <c r="AU69" s="51">
        <v>133.5</v>
      </c>
      <c r="AV69" s="51">
        <v>135.5</v>
      </c>
      <c r="AW69" s="51">
        <v>137</v>
      </c>
      <c r="AX69" s="51">
        <v>135.80000000000001</v>
      </c>
      <c r="AY69" s="51">
        <v>132.5</v>
      </c>
      <c r="AZ69" s="51">
        <v>130.4</v>
      </c>
      <c r="BA69" s="51">
        <v>130.80000000000001</v>
      </c>
      <c r="BB69" s="51">
        <v>129.30000000000001</v>
      </c>
      <c r="BC69" s="51">
        <v>129.6</v>
      </c>
      <c r="BD69" s="51">
        <v>131.4</v>
      </c>
      <c r="BE69" s="51">
        <v>136.80000000000001</v>
      </c>
      <c r="BF69" s="51">
        <v>137.69999999999999</v>
      </c>
      <c r="BG69" s="51">
        <v>135.19999999999999</v>
      </c>
      <c r="BH69" s="51">
        <v>137.19999999999999</v>
      </c>
      <c r="BI69" s="51">
        <v>139.4</v>
      </c>
      <c r="BJ69" s="51">
        <v>142.69999999999999</v>
      </c>
      <c r="BK69" s="51">
        <v>137.5</v>
      </c>
      <c r="BL69" s="51">
        <v>135.6</v>
      </c>
      <c r="BM69" s="51">
        <v>136.4</v>
      </c>
      <c r="BN69" s="51">
        <v>135</v>
      </c>
      <c r="BO69" s="51">
        <v>133.80000000000001</v>
      </c>
      <c r="BP69" s="51">
        <v>135.5</v>
      </c>
      <c r="BQ69" s="51">
        <v>138.5</v>
      </c>
      <c r="BR69" s="51">
        <v>150.1</v>
      </c>
      <c r="BS69" s="51">
        <v>151.30000000000001</v>
      </c>
      <c r="BT69" s="51">
        <v>152.19999999999999</v>
      </c>
      <c r="BU69" s="51">
        <v>149.69999999999999</v>
      </c>
      <c r="BV69" s="51">
        <v>146.30000000000001</v>
      </c>
      <c r="BW69" s="51">
        <v>140</v>
      </c>
      <c r="BX69" s="51">
        <v>139.5</v>
      </c>
      <c r="BY69" s="51">
        <v>141.5</v>
      </c>
      <c r="BZ69" s="51">
        <v>138.5</v>
      </c>
      <c r="CA69" s="51">
        <v>135.19999999999999</v>
      </c>
      <c r="CB69" s="51">
        <v>137</v>
      </c>
      <c r="CC69" s="51">
        <v>139.4</v>
      </c>
      <c r="CD69" s="51">
        <v>144.55000000000001</v>
      </c>
      <c r="CE69" s="51">
        <v>149.69999999999999</v>
      </c>
      <c r="CF69" s="51">
        <v>150.9</v>
      </c>
      <c r="CG69" s="51">
        <v>154.69999999999999</v>
      </c>
      <c r="CH69" s="51">
        <v>153.9</v>
      </c>
      <c r="CI69" s="51">
        <v>149.80000000000001</v>
      </c>
      <c r="CJ69" s="51">
        <v>150.6</v>
      </c>
      <c r="CK69" s="51">
        <v>148.80000000000001</v>
      </c>
      <c r="CL69" s="51">
        <v>147.19999999999999</v>
      </c>
      <c r="CM69" s="51">
        <v>144.4</v>
      </c>
      <c r="CN69" s="51">
        <v>143.1</v>
      </c>
      <c r="CO69" s="51">
        <v>143.30000000000001</v>
      </c>
      <c r="CP69" s="51">
        <v>152.9</v>
      </c>
      <c r="CQ69" s="51">
        <v>152.35000000000002</v>
      </c>
      <c r="CR69" s="51">
        <v>151.80000000000001</v>
      </c>
      <c r="CS69" s="51">
        <v>151.80000000000001</v>
      </c>
      <c r="CT69" s="51">
        <v>154.5</v>
      </c>
      <c r="CU69" s="51">
        <v>155.4</v>
      </c>
      <c r="CV69" s="51">
        <v>155.69999999999999</v>
      </c>
      <c r="CW69" s="51">
        <v>150.5</v>
      </c>
      <c r="CX69" s="51">
        <v>149.69999999999999</v>
      </c>
      <c r="CY69" s="51">
        <v>152.6</v>
      </c>
      <c r="CZ69" s="51">
        <v>154</v>
      </c>
      <c r="DA69" s="51">
        <v>157.30000000000001</v>
      </c>
      <c r="DB69" s="51">
        <v>168.8</v>
      </c>
      <c r="DC69" s="51">
        <v>172.5</v>
      </c>
      <c r="DD69" s="51">
        <v>171.5</v>
      </c>
      <c r="DE69" s="51">
        <v>170.9</v>
      </c>
      <c r="DF69" s="51">
        <v>161.30000000000001</v>
      </c>
      <c r="DG69" s="51">
        <v>161.19999999999999</v>
      </c>
      <c r="DH69" s="51">
        <v>159.30000000000001</v>
      </c>
      <c r="DI69" s="51">
        <v>160.30000000000001</v>
      </c>
      <c r="DJ69" s="51">
        <v>158.30000000000001</v>
      </c>
      <c r="DK69" s="51">
        <v>156.5</v>
      </c>
      <c r="DL69" s="51">
        <v>156.4</v>
      </c>
      <c r="DM69" s="51">
        <v>159.6</v>
      </c>
      <c r="DN69" s="51">
        <v>175.9</v>
      </c>
      <c r="DO69" s="51">
        <v>174.5</v>
      </c>
      <c r="DP69" s="51">
        <v>174.1</v>
      </c>
      <c r="DQ69" s="51">
        <v>179.5</v>
      </c>
      <c r="DR69" s="51">
        <v>177.1</v>
      </c>
      <c r="DS69" s="51">
        <v>167.5</v>
      </c>
      <c r="DT69" s="51">
        <v>165.7</v>
      </c>
      <c r="DU69" s="51">
        <v>162.6</v>
      </c>
      <c r="DV69" s="51">
        <v>159.5</v>
      </c>
      <c r="DW69" s="51">
        <v>160.5</v>
      </c>
      <c r="DX69" s="51">
        <v>172.1</v>
      </c>
      <c r="DY69" s="51">
        <v>172.1</v>
      </c>
      <c r="DZ69" s="51">
        <v>179.2</v>
      </c>
      <c r="EA69" s="51">
        <v>175.8</v>
      </c>
    </row>
    <row r="70" spans="4:131" x14ac:dyDescent="0.35">
      <c r="D70" s="50" t="s">
        <v>9</v>
      </c>
      <c r="E70" s="51" t="s">
        <v>59</v>
      </c>
      <c r="F70" s="51" t="s">
        <v>33</v>
      </c>
      <c r="G70" s="51">
        <v>102.9</v>
      </c>
      <c r="H70" s="51">
        <v>104.9</v>
      </c>
      <c r="I70" s="51">
        <v>103.8</v>
      </c>
      <c r="J70" s="51">
        <v>109.7</v>
      </c>
      <c r="K70" s="51">
        <v>123.7</v>
      </c>
      <c r="L70" s="51">
        <v>143.6</v>
      </c>
      <c r="M70" s="51">
        <v>160.9</v>
      </c>
      <c r="N70" s="51">
        <v>177</v>
      </c>
      <c r="O70" s="51">
        <v>174.3</v>
      </c>
      <c r="P70" s="51">
        <v>183.5</v>
      </c>
      <c r="Q70" s="51">
        <v>192.8</v>
      </c>
      <c r="R70" s="51">
        <v>144.80000000000001</v>
      </c>
      <c r="S70" s="51">
        <v>118.9</v>
      </c>
      <c r="T70" s="51">
        <v>111.5</v>
      </c>
      <c r="U70" s="51">
        <v>113.3</v>
      </c>
      <c r="V70" s="51">
        <v>121.2</v>
      </c>
      <c r="W70" s="51">
        <v>127</v>
      </c>
      <c r="X70" s="51">
        <v>137.5</v>
      </c>
      <c r="Y70" s="51">
        <v>172.4</v>
      </c>
      <c r="Z70" s="51">
        <v>181.9</v>
      </c>
      <c r="AA70" s="51">
        <v>168.6</v>
      </c>
      <c r="AB70" s="51">
        <v>159.6</v>
      </c>
      <c r="AC70" s="51">
        <v>153.19999999999999</v>
      </c>
      <c r="AD70" s="51">
        <v>141</v>
      </c>
      <c r="AE70" s="51">
        <v>134.4</v>
      </c>
      <c r="AF70" s="51">
        <v>131.80000000000001</v>
      </c>
      <c r="AG70" s="51">
        <v>131.4</v>
      </c>
      <c r="AH70" s="51">
        <v>130.80000000000001</v>
      </c>
      <c r="AI70" s="51">
        <v>135.6</v>
      </c>
      <c r="AJ70" s="51">
        <v>146.69999999999999</v>
      </c>
      <c r="AK70" s="51">
        <v>153.5</v>
      </c>
      <c r="AL70" s="51">
        <v>165.5</v>
      </c>
      <c r="AM70" s="51">
        <v>168.5</v>
      </c>
      <c r="AN70" s="51">
        <v>165.8</v>
      </c>
      <c r="AO70" s="51">
        <v>164.6</v>
      </c>
      <c r="AP70" s="51">
        <v>149</v>
      </c>
      <c r="AQ70" s="51">
        <v>144.1</v>
      </c>
      <c r="AR70" s="51">
        <v>129.19999999999999</v>
      </c>
      <c r="AS70" s="51">
        <v>128.1</v>
      </c>
      <c r="AT70" s="51">
        <v>136.80000000000001</v>
      </c>
      <c r="AU70" s="51">
        <v>151.4</v>
      </c>
      <c r="AV70" s="51">
        <v>173.7</v>
      </c>
      <c r="AW70" s="51">
        <v>179.5</v>
      </c>
      <c r="AX70" s="51">
        <v>163.5</v>
      </c>
      <c r="AY70" s="51">
        <v>152.9</v>
      </c>
      <c r="AZ70" s="51">
        <v>155.1</v>
      </c>
      <c r="BA70" s="51">
        <v>142</v>
      </c>
      <c r="BB70" s="51">
        <v>121.1</v>
      </c>
      <c r="BC70" s="51">
        <v>118.7</v>
      </c>
      <c r="BD70" s="51">
        <v>120.2</v>
      </c>
      <c r="BE70" s="51">
        <v>122.2</v>
      </c>
      <c r="BF70" s="51">
        <v>127.1</v>
      </c>
      <c r="BG70" s="51">
        <v>129.19999999999999</v>
      </c>
      <c r="BH70" s="51">
        <v>142.19999999999999</v>
      </c>
      <c r="BI70" s="51">
        <v>175.1</v>
      </c>
      <c r="BJ70" s="51">
        <v>179.8</v>
      </c>
      <c r="BK70" s="51">
        <v>160.69999999999999</v>
      </c>
      <c r="BL70" s="51">
        <v>173.2</v>
      </c>
      <c r="BM70" s="51">
        <v>185.2</v>
      </c>
      <c r="BN70" s="51">
        <v>163.19999999999999</v>
      </c>
      <c r="BO70" s="51">
        <v>150.5</v>
      </c>
      <c r="BP70" s="51">
        <v>136.9</v>
      </c>
      <c r="BQ70" s="51">
        <v>128</v>
      </c>
      <c r="BR70" s="51">
        <v>127.6</v>
      </c>
      <c r="BS70" s="51">
        <v>131.4</v>
      </c>
      <c r="BT70" s="51">
        <v>144</v>
      </c>
      <c r="BU70" s="51">
        <v>159.19999999999999</v>
      </c>
      <c r="BV70" s="51">
        <v>157.30000000000001</v>
      </c>
      <c r="BW70" s="51">
        <v>151.30000000000001</v>
      </c>
      <c r="BX70" s="51">
        <v>153</v>
      </c>
      <c r="BY70" s="51">
        <v>145.19999999999999</v>
      </c>
      <c r="BZ70" s="51">
        <v>132.4</v>
      </c>
      <c r="CA70" s="51">
        <v>130.5</v>
      </c>
      <c r="CB70" s="51">
        <v>131.6</v>
      </c>
      <c r="CC70" s="51">
        <v>141.19999999999999</v>
      </c>
      <c r="CD70" s="51">
        <v>151.39999999999998</v>
      </c>
      <c r="CE70" s="51">
        <v>161.6</v>
      </c>
      <c r="CF70" s="51">
        <v>169.8</v>
      </c>
      <c r="CG70" s="51">
        <v>180.1</v>
      </c>
      <c r="CH70" s="51">
        <v>189.1</v>
      </c>
      <c r="CI70" s="51">
        <v>192.4</v>
      </c>
      <c r="CJ70" s="51">
        <v>207.2</v>
      </c>
      <c r="CK70" s="51">
        <v>215.7</v>
      </c>
      <c r="CL70" s="51">
        <v>231.5</v>
      </c>
      <c r="CM70" s="51">
        <v>207.8</v>
      </c>
      <c r="CN70" s="51">
        <v>181.7</v>
      </c>
      <c r="CO70" s="51">
        <v>167</v>
      </c>
      <c r="CP70" s="51">
        <v>180</v>
      </c>
      <c r="CQ70" s="51">
        <v>175.6</v>
      </c>
      <c r="CR70" s="51">
        <v>171.2</v>
      </c>
      <c r="CS70" s="51">
        <v>171.2</v>
      </c>
      <c r="CT70" s="51">
        <v>191.9</v>
      </c>
      <c r="CU70" s="51">
        <v>202</v>
      </c>
      <c r="CV70" s="51">
        <v>226</v>
      </c>
      <c r="CW70" s="51">
        <v>245.3</v>
      </c>
      <c r="CX70" s="51">
        <v>240.9</v>
      </c>
      <c r="CY70" s="51">
        <v>206.8</v>
      </c>
      <c r="CZ70" s="51">
        <v>180.2</v>
      </c>
      <c r="DA70" s="51">
        <v>166.1</v>
      </c>
      <c r="DB70" s="51">
        <v>161.6</v>
      </c>
      <c r="DC70" s="51">
        <v>166.5</v>
      </c>
      <c r="DD70" s="51">
        <v>176.2</v>
      </c>
      <c r="DE70" s="51">
        <v>186.4</v>
      </c>
      <c r="DF70" s="51">
        <v>183.3</v>
      </c>
      <c r="DG70" s="51">
        <v>183.5</v>
      </c>
      <c r="DH70" s="51">
        <v>214.4</v>
      </c>
      <c r="DI70" s="51">
        <v>229.1</v>
      </c>
      <c r="DJ70" s="51">
        <v>219.5</v>
      </c>
      <c r="DK70" s="51">
        <v>203.6</v>
      </c>
      <c r="DL70" s="51">
        <v>198</v>
      </c>
      <c r="DM70" s="51">
        <v>188.4</v>
      </c>
      <c r="DN70" s="51">
        <v>190.7</v>
      </c>
      <c r="DO70" s="51">
        <v>203.2</v>
      </c>
      <c r="DP70" s="51">
        <v>211.5</v>
      </c>
      <c r="DQ70" s="51">
        <v>208.5</v>
      </c>
      <c r="DR70" s="51">
        <v>213.1</v>
      </c>
      <c r="DS70" s="51">
        <v>220.8</v>
      </c>
      <c r="DT70" s="51">
        <v>228.6</v>
      </c>
      <c r="DU70" s="51">
        <v>205.5</v>
      </c>
      <c r="DV70" s="51">
        <v>178.7</v>
      </c>
      <c r="DW70" s="51">
        <v>175.3</v>
      </c>
      <c r="DX70" s="51">
        <v>175.8</v>
      </c>
      <c r="DY70" s="51">
        <v>175.9</v>
      </c>
      <c r="DZ70" s="51">
        <v>179.9</v>
      </c>
      <c r="EA70" s="51">
        <v>185</v>
      </c>
    </row>
    <row r="71" spans="4:131" x14ac:dyDescent="0.35">
      <c r="D71" s="50" t="s">
        <v>10</v>
      </c>
      <c r="E71" s="51" t="s">
        <v>59</v>
      </c>
      <c r="F71" s="51" t="s">
        <v>33</v>
      </c>
      <c r="G71" s="51">
        <v>105.8</v>
      </c>
      <c r="H71" s="51">
        <v>104.1</v>
      </c>
      <c r="I71" s="51">
        <v>103.5</v>
      </c>
      <c r="J71" s="51">
        <v>104.6</v>
      </c>
      <c r="K71" s="51">
        <v>105.2</v>
      </c>
      <c r="L71" s="51">
        <v>105.4</v>
      </c>
      <c r="M71" s="51">
        <v>105.1</v>
      </c>
      <c r="N71" s="51">
        <v>104.7</v>
      </c>
      <c r="O71" s="51">
        <v>105.1</v>
      </c>
      <c r="P71" s="51">
        <v>105.3</v>
      </c>
      <c r="Q71" s="51">
        <v>106.3</v>
      </c>
      <c r="R71" s="51">
        <v>107.1</v>
      </c>
      <c r="S71" s="51">
        <v>107.5</v>
      </c>
      <c r="T71" s="51">
        <v>108.2</v>
      </c>
      <c r="U71" s="51">
        <v>108.9</v>
      </c>
      <c r="V71" s="51">
        <v>111</v>
      </c>
      <c r="W71" s="51">
        <v>112.6</v>
      </c>
      <c r="X71" s="51">
        <v>112.8</v>
      </c>
      <c r="Y71" s="51">
        <v>113.1</v>
      </c>
      <c r="Z71" s="51">
        <v>115.2</v>
      </c>
      <c r="AA71" s="51">
        <v>116.9</v>
      </c>
      <c r="AB71" s="51">
        <v>117.4</v>
      </c>
      <c r="AC71" s="51">
        <v>119.3</v>
      </c>
      <c r="AD71" s="51">
        <v>120.1</v>
      </c>
      <c r="AE71" s="51">
        <v>122.9</v>
      </c>
      <c r="AF71" s="51">
        <v>125.1</v>
      </c>
      <c r="AG71" s="51">
        <v>127.2</v>
      </c>
      <c r="AH71" s="51">
        <v>131.30000000000001</v>
      </c>
      <c r="AI71" s="51">
        <v>142.6</v>
      </c>
      <c r="AJ71" s="51">
        <v>148.1</v>
      </c>
      <c r="AK71" s="51">
        <v>149.5</v>
      </c>
      <c r="AL71" s="51">
        <v>156</v>
      </c>
      <c r="AM71" s="51">
        <v>165.4</v>
      </c>
      <c r="AN71" s="51">
        <v>187.2</v>
      </c>
      <c r="AO71" s="51">
        <v>191.6</v>
      </c>
      <c r="AP71" s="51">
        <v>190.1</v>
      </c>
      <c r="AQ71" s="51">
        <v>184.2</v>
      </c>
      <c r="AR71" s="51">
        <v>176.4</v>
      </c>
      <c r="AS71" s="51">
        <v>170.3</v>
      </c>
      <c r="AT71" s="51">
        <v>176.9</v>
      </c>
      <c r="AU71" s="51">
        <v>182.8</v>
      </c>
      <c r="AV71" s="51">
        <v>184.4</v>
      </c>
      <c r="AW71" s="51">
        <v>188.4</v>
      </c>
      <c r="AX71" s="51">
        <v>182.3</v>
      </c>
      <c r="AY71" s="51">
        <v>173.6</v>
      </c>
      <c r="AZ71" s="51">
        <v>175.7</v>
      </c>
      <c r="BA71" s="51">
        <v>174.9</v>
      </c>
      <c r="BB71" s="51">
        <v>170.3</v>
      </c>
      <c r="BC71" s="51">
        <v>155.1</v>
      </c>
      <c r="BD71" s="51">
        <v>143.1</v>
      </c>
      <c r="BE71" s="51">
        <v>135.80000000000001</v>
      </c>
      <c r="BF71" s="51">
        <v>133.80000000000001</v>
      </c>
      <c r="BG71" s="51">
        <v>131.5</v>
      </c>
      <c r="BH71" s="51">
        <v>128.19999999999999</v>
      </c>
      <c r="BI71" s="51">
        <v>124.7</v>
      </c>
      <c r="BJ71" s="51">
        <v>123.5</v>
      </c>
      <c r="BK71" s="51">
        <v>124.5</v>
      </c>
      <c r="BL71" s="51">
        <v>124.1</v>
      </c>
      <c r="BM71" s="51">
        <v>122.2</v>
      </c>
      <c r="BN71" s="51">
        <v>119.8</v>
      </c>
      <c r="BO71" s="51">
        <v>118.4</v>
      </c>
      <c r="BP71" s="51">
        <v>117</v>
      </c>
      <c r="BQ71" s="51">
        <v>115.5</v>
      </c>
      <c r="BR71" s="51">
        <v>114</v>
      </c>
      <c r="BS71" s="51">
        <v>112.8</v>
      </c>
      <c r="BT71" s="51">
        <v>112.3</v>
      </c>
      <c r="BU71" s="51">
        <v>112.6</v>
      </c>
      <c r="BV71" s="51">
        <v>113.6</v>
      </c>
      <c r="BW71" s="51">
        <v>113.5</v>
      </c>
      <c r="BX71" s="51">
        <v>113.2</v>
      </c>
      <c r="BY71" s="51">
        <v>115.3</v>
      </c>
      <c r="BZ71" s="51">
        <v>117.5</v>
      </c>
      <c r="CA71" s="51">
        <v>118.2</v>
      </c>
      <c r="CB71" s="51">
        <v>119.9</v>
      </c>
      <c r="CC71" s="51">
        <v>120.7</v>
      </c>
      <c r="CD71" s="51">
        <v>122.55000000000001</v>
      </c>
      <c r="CE71" s="51">
        <v>124.4</v>
      </c>
      <c r="CF71" s="51">
        <v>127.4</v>
      </c>
      <c r="CG71" s="51">
        <v>128.9</v>
      </c>
      <c r="CH71" s="51">
        <v>129.80000000000001</v>
      </c>
      <c r="CI71" s="51">
        <v>130.30000000000001</v>
      </c>
      <c r="CJ71" s="51">
        <v>131.19999999999999</v>
      </c>
      <c r="CK71" s="51">
        <v>134.6</v>
      </c>
      <c r="CL71" s="51">
        <v>137.19999999999999</v>
      </c>
      <c r="CM71" s="51">
        <v>139.1</v>
      </c>
      <c r="CN71" s="51">
        <v>139.6</v>
      </c>
      <c r="CO71" s="51">
        <v>139.69999999999999</v>
      </c>
      <c r="CP71" s="51">
        <v>150.80000000000001</v>
      </c>
      <c r="CQ71" s="51">
        <v>151.4</v>
      </c>
      <c r="CR71" s="51">
        <v>152</v>
      </c>
      <c r="CS71" s="51">
        <v>152</v>
      </c>
      <c r="CT71" s="51">
        <v>151.30000000000001</v>
      </c>
      <c r="CU71" s="51">
        <v>150.80000000000001</v>
      </c>
      <c r="CV71" s="51">
        <v>152.19999999999999</v>
      </c>
      <c r="CW71" s="51">
        <v>158.69999999999999</v>
      </c>
      <c r="CX71" s="51">
        <v>161.5</v>
      </c>
      <c r="CY71" s="51">
        <v>162.1</v>
      </c>
      <c r="CZ71" s="51">
        <v>159.80000000000001</v>
      </c>
      <c r="DA71" s="51">
        <v>161.1</v>
      </c>
      <c r="DB71" s="51">
        <v>162.80000000000001</v>
      </c>
      <c r="DC71" s="51">
        <v>165.9</v>
      </c>
      <c r="DD71" s="51">
        <v>166.9</v>
      </c>
      <c r="DE71" s="51">
        <v>164.7</v>
      </c>
      <c r="DF71" s="51">
        <v>164.5</v>
      </c>
      <c r="DG71" s="51">
        <v>164.5</v>
      </c>
      <c r="DH71" s="51">
        <v>165.3</v>
      </c>
      <c r="DI71" s="51">
        <v>165.1</v>
      </c>
      <c r="DJ71" s="51">
        <v>164.2</v>
      </c>
      <c r="DK71" s="51">
        <v>163.80000000000001</v>
      </c>
      <c r="DL71" s="51">
        <v>163.19999999999999</v>
      </c>
      <c r="DM71" s="51">
        <v>163.4</v>
      </c>
      <c r="DN71" s="51">
        <v>164</v>
      </c>
      <c r="DO71" s="51">
        <v>164.1</v>
      </c>
      <c r="DP71" s="51">
        <v>163.6</v>
      </c>
      <c r="DQ71" s="51">
        <v>164</v>
      </c>
      <c r="DR71" s="51">
        <v>167.3</v>
      </c>
      <c r="DS71" s="51">
        <v>169.2</v>
      </c>
      <c r="DT71" s="51">
        <v>169.9</v>
      </c>
      <c r="DU71" s="51">
        <v>171</v>
      </c>
      <c r="DV71" s="51">
        <v>171.3</v>
      </c>
      <c r="DW71" s="51">
        <v>171.2</v>
      </c>
      <c r="DX71" s="51">
        <v>172.2</v>
      </c>
      <c r="DY71" s="51">
        <v>172.2</v>
      </c>
      <c r="DZ71" s="51">
        <v>174.7</v>
      </c>
      <c r="EA71" s="51">
        <v>176.9</v>
      </c>
    </row>
    <row r="72" spans="4:131" x14ac:dyDescent="0.35">
      <c r="D72" s="50" t="s">
        <v>11</v>
      </c>
      <c r="E72" s="51" t="s">
        <v>59</v>
      </c>
      <c r="F72" s="51" t="s">
        <v>33</v>
      </c>
      <c r="G72" s="51">
        <v>105.1</v>
      </c>
      <c r="H72" s="51">
        <v>103.8</v>
      </c>
      <c r="I72" s="51">
        <v>102.6</v>
      </c>
      <c r="J72" s="51">
        <v>102</v>
      </c>
      <c r="K72" s="51">
        <v>101.9</v>
      </c>
      <c r="L72" s="51">
        <v>101.4</v>
      </c>
      <c r="M72" s="51">
        <v>101.3</v>
      </c>
      <c r="N72" s="51">
        <v>101</v>
      </c>
      <c r="O72" s="51">
        <v>100.8</v>
      </c>
      <c r="P72" s="51">
        <v>100.2</v>
      </c>
      <c r="Q72" s="51">
        <v>99.5</v>
      </c>
      <c r="R72" s="51">
        <v>98.6</v>
      </c>
      <c r="S72" s="51">
        <v>96.9</v>
      </c>
      <c r="T72" s="51">
        <v>95.4</v>
      </c>
      <c r="U72" s="51">
        <v>96.3</v>
      </c>
      <c r="V72" s="51">
        <v>100.3</v>
      </c>
      <c r="W72" s="51">
        <v>101.3</v>
      </c>
      <c r="X72" s="51">
        <v>101.4</v>
      </c>
      <c r="Y72" s="51">
        <v>102.7</v>
      </c>
      <c r="Z72" s="51">
        <v>102.7</v>
      </c>
      <c r="AA72" s="51">
        <v>101.9</v>
      </c>
      <c r="AB72" s="51">
        <v>101.2</v>
      </c>
      <c r="AC72" s="51">
        <v>99.8</v>
      </c>
      <c r="AD72" s="51">
        <v>97.8</v>
      </c>
      <c r="AE72" s="51">
        <v>96.1</v>
      </c>
      <c r="AF72" s="51">
        <v>95</v>
      </c>
      <c r="AG72" s="51">
        <v>93.2</v>
      </c>
      <c r="AH72" s="51">
        <v>91.6</v>
      </c>
      <c r="AI72" s="51">
        <v>90.8</v>
      </c>
      <c r="AJ72" s="51">
        <v>89.8</v>
      </c>
      <c r="AK72" s="51">
        <v>85.7</v>
      </c>
      <c r="AL72" s="51">
        <v>85.3</v>
      </c>
      <c r="AM72" s="51">
        <v>86.3</v>
      </c>
      <c r="AN72" s="51">
        <v>89.4</v>
      </c>
      <c r="AO72" s="51">
        <v>90.8</v>
      </c>
      <c r="AP72" s="51">
        <v>92.7</v>
      </c>
      <c r="AQ72" s="51">
        <v>96.7</v>
      </c>
      <c r="AR72" s="51">
        <v>99.1</v>
      </c>
      <c r="AS72" s="51">
        <v>101.8</v>
      </c>
      <c r="AT72" s="51">
        <v>109.1</v>
      </c>
      <c r="AU72" s="51">
        <v>111.1</v>
      </c>
      <c r="AV72" s="51">
        <v>112</v>
      </c>
      <c r="AW72" s="51">
        <v>113.3</v>
      </c>
      <c r="AX72" s="51">
        <v>114.6</v>
      </c>
      <c r="AY72" s="51">
        <v>115.1</v>
      </c>
      <c r="AZ72" s="51">
        <v>115.4</v>
      </c>
      <c r="BA72" s="51">
        <v>115.6</v>
      </c>
      <c r="BB72" s="51">
        <v>115.5</v>
      </c>
      <c r="BC72" s="51">
        <v>117.3</v>
      </c>
      <c r="BD72" s="51">
        <v>119.5</v>
      </c>
      <c r="BE72" s="51">
        <v>120.3</v>
      </c>
      <c r="BF72" s="51">
        <v>120.8</v>
      </c>
      <c r="BG72" s="51">
        <v>121</v>
      </c>
      <c r="BH72" s="51">
        <v>120.9</v>
      </c>
      <c r="BI72" s="51">
        <v>121.5</v>
      </c>
      <c r="BJ72" s="51">
        <v>122.1</v>
      </c>
      <c r="BK72" s="51">
        <v>122.4</v>
      </c>
      <c r="BL72" s="51">
        <v>122.6</v>
      </c>
      <c r="BM72" s="51">
        <v>123.9</v>
      </c>
      <c r="BN72" s="51">
        <v>120.7</v>
      </c>
      <c r="BO72" s="51">
        <v>117.3</v>
      </c>
      <c r="BP72" s="51">
        <v>115.4</v>
      </c>
      <c r="BQ72" s="51">
        <v>114.2</v>
      </c>
      <c r="BR72" s="51">
        <v>110.6</v>
      </c>
      <c r="BS72" s="51">
        <v>105.3</v>
      </c>
      <c r="BT72" s="51">
        <v>108.4</v>
      </c>
      <c r="BU72" s="51">
        <v>111.8</v>
      </c>
      <c r="BV72" s="51">
        <v>113.3</v>
      </c>
      <c r="BW72" s="51">
        <v>112.3</v>
      </c>
      <c r="BX72" s="51">
        <v>112.8</v>
      </c>
      <c r="BY72" s="51">
        <v>112.5</v>
      </c>
      <c r="BZ72" s="51">
        <v>111</v>
      </c>
      <c r="CA72" s="51">
        <v>110.4</v>
      </c>
      <c r="CB72" s="51">
        <v>110.4</v>
      </c>
      <c r="CC72" s="51">
        <v>110.4</v>
      </c>
      <c r="CD72" s="51">
        <v>110.80000000000001</v>
      </c>
      <c r="CE72" s="51">
        <v>111.2</v>
      </c>
      <c r="CF72" s="51">
        <v>111.8</v>
      </c>
      <c r="CG72" s="51">
        <v>111.8</v>
      </c>
      <c r="CH72" s="51">
        <v>112.7</v>
      </c>
      <c r="CI72" s="51">
        <v>114</v>
      </c>
      <c r="CJ72" s="51">
        <v>114.8</v>
      </c>
      <c r="CK72" s="51">
        <v>115</v>
      </c>
      <c r="CL72" s="51">
        <v>114.7</v>
      </c>
      <c r="CM72" s="51">
        <v>114.8</v>
      </c>
      <c r="CN72" s="51">
        <v>114.6</v>
      </c>
      <c r="CO72" s="51">
        <v>114.4</v>
      </c>
      <c r="CP72" s="51">
        <v>121.2</v>
      </c>
      <c r="CQ72" s="51">
        <v>118.75</v>
      </c>
      <c r="CR72" s="51">
        <v>116.3</v>
      </c>
      <c r="CS72" s="51">
        <v>116.3</v>
      </c>
      <c r="CT72" s="51">
        <v>116.8</v>
      </c>
      <c r="CU72" s="51">
        <v>118.9</v>
      </c>
      <c r="CV72" s="51">
        <v>118.1</v>
      </c>
      <c r="CW72" s="51">
        <v>117.2</v>
      </c>
      <c r="CX72" s="51">
        <v>117.1</v>
      </c>
      <c r="CY72" s="51">
        <v>116.3</v>
      </c>
      <c r="CZ72" s="51">
        <v>114.9</v>
      </c>
      <c r="DA72" s="51">
        <v>114.3</v>
      </c>
      <c r="DB72" s="51">
        <v>114.8</v>
      </c>
      <c r="DC72" s="51">
        <v>115.9</v>
      </c>
      <c r="DD72" s="51">
        <v>116.1</v>
      </c>
      <c r="DE72" s="51">
        <v>115.7</v>
      </c>
      <c r="DF72" s="51">
        <v>120.4</v>
      </c>
      <c r="DG72" s="51">
        <v>120.4</v>
      </c>
      <c r="DH72" s="51">
        <v>122.5</v>
      </c>
      <c r="DI72" s="51">
        <v>123.1</v>
      </c>
      <c r="DJ72" s="51">
        <v>121.9</v>
      </c>
      <c r="DK72" s="51">
        <v>121.3</v>
      </c>
      <c r="DL72" s="51">
        <v>120.6</v>
      </c>
      <c r="DM72" s="51">
        <v>120.3</v>
      </c>
      <c r="DN72" s="51">
        <v>120.5</v>
      </c>
      <c r="DO72" s="51">
        <v>121.2</v>
      </c>
      <c r="DP72" s="51">
        <v>121.4</v>
      </c>
      <c r="DQ72" s="51">
        <v>121.5</v>
      </c>
      <c r="DR72" s="51">
        <v>122.2</v>
      </c>
      <c r="DS72" s="51">
        <v>123.1</v>
      </c>
      <c r="DT72" s="51">
        <v>123.4</v>
      </c>
      <c r="DU72" s="51">
        <v>123.4</v>
      </c>
      <c r="DV72" s="51">
        <v>123.1</v>
      </c>
      <c r="DW72" s="51">
        <v>122.7</v>
      </c>
      <c r="DX72" s="51">
        <v>121.9</v>
      </c>
      <c r="DY72" s="51">
        <v>121.9</v>
      </c>
      <c r="DZ72" s="51">
        <v>123.1</v>
      </c>
      <c r="EA72" s="51">
        <v>124.2</v>
      </c>
    </row>
    <row r="73" spans="4:131" x14ac:dyDescent="0.35">
      <c r="D73" s="50" t="s">
        <v>12</v>
      </c>
      <c r="E73" s="51" t="s">
        <v>59</v>
      </c>
      <c r="F73" s="51" t="s">
        <v>33</v>
      </c>
      <c r="G73" s="51">
        <v>101.8</v>
      </c>
      <c r="H73" s="51">
        <v>102.3</v>
      </c>
      <c r="I73" s="51">
        <v>102.4</v>
      </c>
      <c r="J73" s="51">
        <v>103.5</v>
      </c>
      <c r="K73" s="51">
        <v>105</v>
      </c>
      <c r="L73" s="51">
        <v>106.4</v>
      </c>
      <c r="M73" s="51">
        <v>107.5</v>
      </c>
      <c r="N73" s="51">
        <v>108.5</v>
      </c>
      <c r="O73" s="51">
        <v>109.1</v>
      </c>
      <c r="P73" s="51">
        <v>109.6</v>
      </c>
      <c r="Q73" s="51">
        <v>110.3</v>
      </c>
      <c r="R73" s="51">
        <v>111.9</v>
      </c>
      <c r="S73" s="51">
        <v>112.7</v>
      </c>
      <c r="T73" s="51">
        <v>113.5</v>
      </c>
      <c r="U73" s="51">
        <v>114.1</v>
      </c>
      <c r="V73" s="51">
        <v>115.3</v>
      </c>
      <c r="W73" s="51">
        <v>117</v>
      </c>
      <c r="X73" s="51">
        <v>118.3</v>
      </c>
      <c r="Y73" s="51">
        <v>120</v>
      </c>
      <c r="Z73" s="51">
        <v>122.1</v>
      </c>
      <c r="AA73" s="51">
        <v>122.9</v>
      </c>
      <c r="AB73" s="51">
        <v>123.8</v>
      </c>
      <c r="AC73" s="51">
        <v>124.6</v>
      </c>
      <c r="AD73" s="51">
        <v>125.4</v>
      </c>
      <c r="AE73" s="51">
        <v>126.6</v>
      </c>
      <c r="AF73" s="51">
        <v>127.7</v>
      </c>
      <c r="AG73" s="51">
        <v>127.4</v>
      </c>
      <c r="AH73" s="51">
        <v>127.7</v>
      </c>
      <c r="AI73" s="51">
        <v>128.80000000000001</v>
      </c>
      <c r="AJ73" s="51">
        <v>130.5</v>
      </c>
      <c r="AK73" s="51">
        <v>131.5</v>
      </c>
      <c r="AL73" s="51">
        <v>132.69999999999999</v>
      </c>
      <c r="AM73" s="51">
        <v>134.4</v>
      </c>
      <c r="AN73" s="51">
        <v>135.80000000000001</v>
      </c>
      <c r="AO73" s="51">
        <v>137.1</v>
      </c>
      <c r="AP73" s="51">
        <v>138.6</v>
      </c>
      <c r="AQ73" s="51">
        <v>139.5</v>
      </c>
      <c r="AR73" s="51">
        <v>139.69999999999999</v>
      </c>
      <c r="AS73" s="51">
        <v>140.1</v>
      </c>
      <c r="AT73" s="51">
        <v>140.4</v>
      </c>
      <c r="AU73" s="51">
        <v>141.5</v>
      </c>
      <c r="AV73" s="51">
        <v>142.80000000000001</v>
      </c>
      <c r="AW73" s="51">
        <v>143.9</v>
      </c>
      <c r="AX73" s="51">
        <v>144.6</v>
      </c>
      <c r="AY73" s="51">
        <v>144.80000000000001</v>
      </c>
      <c r="AZ73" s="51">
        <v>145.30000000000001</v>
      </c>
      <c r="BA73" s="51">
        <v>145.4</v>
      </c>
      <c r="BB73" s="51">
        <v>145.5</v>
      </c>
      <c r="BC73" s="51">
        <v>144.9</v>
      </c>
      <c r="BD73" s="51">
        <v>144</v>
      </c>
      <c r="BE73" s="51">
        <v>142.6</v>
      </c>
      <c r="BF73" s="51">
        <v>141.30000000000001</v>
      </c>
      <c r="BG73" s="51">
        <v>139.9</v>
      </c>
      <c r="BH73" s="51">
        <v>138.80000000000001</v>
      </c>
      <c r="BI73" s="51">
        <v>137.80000000000001</v>
      </c>
      <c r="BJ73" s="51">
        <v>137.5</v>
      </c>
      <c r="BK73" s="51">
        <v>137.30000000000001</v>
      </c>
      <c r="BL73" s="51">
        <v>137.80000000000001</v>
      </c>
      <c r="BM73" s="51">
        <v>138.30000000000001</v>
      </c>
      <c r="BN73" s="51">
        <v>139.69999999999999</v>
      </c>
      <c r="BO73" s="51">
        <v>140.5</v>
      </c>
      <c r="BP73" s="51">
        <v>140.69999999999999</v>
      </c>
      <c r="BQ73" s="51">
        <v>140.69999999999999</v>
      </c>
      <c r="BR73" s="51">
        <v>140.19999999999999</v>
      </c>
      <c r="BS73" s="51">
        <v>139.6</v>
      </c>
      <c r="BT73" s="51">
        <v>140</v>
      </c>
      <c r="BU73" s="51">
        <v>140.30000000000001</v>
      </c>
      <c r="BV73" s="51">
        <v>141.1</v>
      </c>
      <c r="BW73" s="51">
        <v>141.19999999999999</v>
      </c>
      <c r="BX73" s="51">
        <v>141.1</v>
      </c>
      <c r="BY73" s="51">
        <v>141.4</v>
      </c>
      <c r="BZ73" s="51">
        <v>141.5</v>
      </c>
      <c r="CA73" s="51">
        <v>140.4</v>
      </c>
      <c r="CB73" s="51">
        <v>140.80000000000001</v>
      </c>
      <c r="CC73" s="51">
        <v>140.69999999999999</v>
      </c>
      <c r="CD73" s="51">
        <v>140.85</v>
      </c>
      <c r="CE73" s="51">
        <v>141</v>
      </c>
      <c r="CF73" s="51">
        <v>141</v>
      </c>
      <c r="CG73" s="51">
        <v>141.6</v>
      </c>
      <c r="CH73" s="51">
        <v>142.5</v>
      </c>
      <c r="CI73" s="51">
        <v>143.80000000000001</v>
      </c>
      <c r="CJ73" s="51">
        <v>145.19999999999999</v>
      </c>
      <c r="CK73" s="51">
        <v>146.30000000000001</v>
      </c>
      <c r="CL73" s="51">
        <v>148</v>
      </c>
      <c r="CM73" s="51">
        <v>149.5</v>
      </c>
      <c r="CN73" s="51">
        <v>150.4</v>
      </c>
      <c r="CO73" s="51">
        <v>151.5</v>
      </c>
      <c r="CP73" s="51">
        <v>154</v>
      </c>
      <c r="CQ73" s="51">
        <v>156.4</v>
      </c>
      <c r="CR73" s="51">
        <v>158.80000000000001</v>
      </c>
      <c r="CS73" s="51">
        <v>158.80000000000001</v>
      </c>
      <c r="CT73" s="51">
        <v>160</v>
      </c>
      <c r="CU73" s="51">
        <v>160.9</v>
      </c>
      <c r="CV73" s="51">
        <v>161.30000000000001</v>
      </c>
      <c r="CW73" s="51">
        <v>161.4</v>
      </c>
      <c r="CX73" s="51">
        <v>161.9</v>
      </c>
      <c r="CY73" s="51">
        <v>163</v>
      </c>
      <c r="CZ73" s="51">
        <v>162.5</v>
      </c>
      <c r="DA73" s="51">
        <v>162.6</v>
      </c>
      <c r="DB73" s="51">
        <v>162.80000000000001</v>
      </c>
      <c r="DC73" s="51">
        <v>165.2</v>
      </c>
      <c r="DD73" s="51">
        <v>165.5</v>
      </c>
      <c r="DE73" s="51">
        <v>165.5</v>
      </c>
      <c r="DF73" s="51">
        <v>166.2</v>
      </c>
      <c r="DG73" s="51">
        <v>166.2</v>
      </c>
      <c r="DH73" s="51">
        <v>166.8</v>
      </c>
      <c r="DI73" s="51">
        <v>167.2</v>
      </c>
      <c r="DJ73" s="51">
        <v>168.2</v>
      </c>
      <c r="DK73" s="51">
        <v>169.8</v>
      </c>
      <c r="DL73" s="51">
        <v>172.2</v>
      </c>
      <c r="DM73" s="51">
        <v>174.7</v>
      </c>
      <c r="DN73" s="51">
        <v>178</v>
      </c>
      <c r="DO73" s="51">
        <v>181.4</v>
      </c>
      <c r="DP73" s="51">
        <v>183.5</v>
      </c>
      <c r="DQ73" s="51">
        <v>186.3</v>
      </c>
      <c r="DR73" s="51">
        <v>189.7</v>
      </c>
      <c r="DS73" s="51">
        <v>193.6</v>
      </c>
      <c r="DT73" s="51">
        <v>196.4</v>
      </c>
      <c r="DU73" s="51">
        <v>198.8</v>
      </c>
      <c r="DV73" s="51">
        <v>200.5</v>
      </c>
      <c r="DW73" s="51">
        <v>204.3</v>
      </c>
      <c r="DX73" s="51">
        <v>204.8</v>
      </c>
      <c r="DY73" s="51">
        <v>204.8</v>
      </c>
      <c r="DZ73" s="51">
        <v>207.8</v>
      </c>
      <c r="EA73" s="51">
        <v>211.9</v>
      </c>
    </row>
    <row r="74" spans="4:131" x14ac:dyDescent="0.35">
      <c r="D74" s="50" t="s">
        <v>13</v>
      </c>
      <c r="E74" s="51" t="s">
        <v>59</v>
      </c>
      <c r="F74" s="51" t="s">
        <v>33</v>
      </c>
      <c r="G74" s="51">
        <v>105.1</v>
      </c>
      <c r="H74" s="51">
        <v>106</v>
      </c>
      <c r="I74" s="51">
        <v>107</v>
      </c>
      <c r="J74" s="51">
        <v>108.2</v>
      </c>
      <c r="K74" s="51">
        <v>109.1</v>
      </c>
      <c r="L74" s="51">
        <v>110</v>
      </c>
      <c r="M74" s="51">
        <v>110.4</v>
      </c>
      <c r="N74" s="51">
        <v>110.9</v>
      </c>
      <c r="O74" s="51">
        <v>111.1</v>
      </c>
      <c r="P74" s="51">
        <v>111.4</v>
      </c>
      <c r="Q74" s="51">
        <v>111.8</v>
      </c>
      <c r="R74" s="51">
        <v>112.1</v>
      </c>
      <c r="S74" s="51">
        <v>112.1</v>
      </c>
      <c r="T74" s="51">
        <v>112.1</v>
      </c>
      <c r="U74" s="51">
        <v>112.2</v>
      </c>
      <c r="V74" s="51">
        <v>112.7</v>
      </c>
      <c r="W74" s="51">
        <v>112.9</v>
      </c>
      <c r="X74" s="51">
        <v>113.2</v>
      </c>
      <c r="Y74" s="51">
        <v>113.8</v>
      </c>
      <c r="Z74" s="51">
        <v>114.4</v>
      </c>
      <c r="AA74" s="51">
        <v>114.8</v>
      </c>
      <c r="AB74" s="51">
        <v>115.2</v>
      </c>
      <c r="AC74" s="51">
        <v>115.8</v>
      </c>
      <c r="AD74" s="51">
        <v>116.1</v>
      </c>
      <c r="AE74" s="51">
        <v>116.5</v>
      </c>
      <c r="AF74" s="51">
        <v>116.8</v>
      </c>
      <c r="AG74" s="51">
        <v>117</v>
      </c>
      <c r="AH74" s="51">
        <v>117.2</v>
      </c>
      <c r="AI74" s="51">
        <v>117.7</v>
      </c>
      <c r="AJ74" s="51">
        <v>118</v>
      </c>
      <c r="AK74" s="51">
        <v>118.3</v>
      </c>
      <c r="AL74" s="51">
        <v>118.8</v>
      </c>
      <c r="AM74" s="51">
        <v>119.1</v>
      </c>
      <c r="AN74" s="51">
        <v>119.4</v>
      </c>
      <c r="AO74" s="51">
        <v>119.8</v>
      </c>
      <c r="AP74" s="51">
        <v>120.2</v>
      </c>
      <c r="AQ74" s="51">
        <v>120.5</v>
      </c>
      <c r="AR74" s="51">
        <v>120.6</v>
      </c>
      <c r="AS74" s="51">
        <v>120.7</v>
      </c>
      <c r="AT74" s="51">
        <v>121.1</v>
      </c>
      <c r="AU74" s="51">
        <v>121.5</v>
      </c>
      <c r="AV74" s="51">
        <v>121.6</v>
      </c>
      <c r="AW74" s="51">
        <v>121.7</v>
      </c>
      <c r="AX74" s="51">
        <v>121.9</v>
      </c>
      <c r="AY74" s="51">
        <v>122.1</v>
      </c>
      <c r="AZ74" s="51">
        <v>122.5</v>
      </c>
      <c r="BA74" s="51">
        <v>122.7</v>
      </c>
      <c r="BB74" s="51">
        <v>123.1</v>
      </c>
      <c r="BC74" s="51">
        <v>123.2</v>
      </c>
      <c r="BD74" s="51">
        <v>123.4</v>
      </c>
      <c r="BE74" s="51">
        <v>123.6</v>
      </c>
      <c r="BF74" s="51">
        <v>123.8</v>
      </c>
      <c r="BG74" s="51">
        <v>123.8</v>
      </c>
      <c r="BH74" s="51">
        <v>124.2</v>
      </c>
      <c r="BI74" s="51">
        <v>124.4</v>
      </c>
      <c r="BJ74" s="51">
        <v>124.6</v>
      </c>
      <c r="BK74" s="51">
        <v>124.8</v>
      </c>
      <c r="BL74" s="51">
        <v>125.1</v>
      </c>
      <c r="BM74" s="51">
        <v>125.4</v>
      </c>
      <c r="BN74" s="51">
        <v>125.7</v>
      </c>
      <c r="BO74" s="51">
        <v>125.9</v>
      </c>
      <c r="BP74" s="51">
        <v>125.9</v>
      </c>
      <c r="BQ74" s="51">
        <v>126.2</v>
      </c>
      <c r="BR74" s="51">
        <v>126.5</v>
      </c>
      <c r="BS74" s="51">
        <v>126.6</v>
      </c>
      <c r="BT74" s="51">
        <v>126.7</v>
      </c>
      <c r="BU74" s="51">
        <v>126.8</v>
      </c>
      <c r="BV74" s="51">
        <v>127.4</v>
      </c>
      <c r="BW74" s="51">
        <v>127.7</v>
      </c>
      <c r="BX74" s="51">
        <v>127.6</v>
      </c>
      <c r="BY74" s="51">
        <v>128</v>
      </c>
      <c r="BZ74" s="51">
        <v>128.1</v>
      </c>
      <c r="CA74" s="51">
        <v>128.1</v>
      </c>
      <c r="CB74" s="51">
        <v>128.30000000000001</v>
      </c>
      <c r="CC74" s="51">
        <v>128.5</v>
      </c>
      <c r="CD74" s="51">
        <v>128.69999999999999</v>
      </c>
      <c r="CE74" s="51">
        <v>128.9</v>
      </c>
      <c r="CF74" s="51">
        <v>129</v>
      </c>
      <c r="CG74" s="51">
        <v>129.5</v>
      </c>
      <c r="CH74" s="51">
        <v>129.80000000000001</v>
      </c>
      <c r="CI74" s="51">
        <v>130</v>
      </c>
      <c r="CJ74" s="51">
        <v>130.19999999999999</v>
      </c>
      <c r="CK74" s="51">
        <v>130.5</v>
      </c>
      <c r="CL74" s="51">
        <v>130.80000000000001</v>
      </c>
      <c r="CM74" s="51">
        <v>131.1</v>
      </c>
      <c r="CN74" s="51">
        <v>131.5</v>
      </c>
      <c r="CO74" s="51">
        <v>131.9</v>
      </c>
      <c r="CP74" s="51">
        <v>133.5</v>
      </c>
      <c r="CQ74" s="51">
        <v>134.55000000000001</v>
      </c>
      <c r="CR74" s="51">
        <v>135.6</v>
      </c>
      <c r="CS74" s="51">
        <v>135.6</v>
      </c>
      <c r="CT74" s="51">
        <v>136.5</v>
      </c>
      <c r="CU74" s="51">
        <v>137.69999999999999</v>
      </c>
      <c r="CV74" s="51">
        <v>139.19999999999999</v>
      </c>
      <c r="CW74" s="51">
        <v>141.5</v>
      </c>
      <c r="CX74" s="51">
        <v>143.30000000000001</v>
      </c>
      <c r="CY74" s="51">
        <v>145.9</v>
      </c>
      <c r="CZ74" s="51">
        <v>149.19999999999999</v>
      </c>
      <c r="DA74" s="51">
        <v>150.69999999999999</v>
      </c>
      <c r="DB74" s="51">
        <v>151.5</v>
      </c>
      <c r="DC74" s="51">
        <v>152</v>
      </c>
      <c r="DD74" s="51">
        <v>152.30000000000001</v>
      </c>
      <c r="DE74" s="51">
        <v>153.4</v>
      </c>
      <c r="DF74" s="51">
        <v>154.80000000000001</v>
      </c>
      <c r="DG74" s="51">
        <v>154.80000000000001</v>
      </c>
      <c r="DH74" s="51">
        <v>155.4</v>
      </c>
      <c r="DI74" s="51">
        <v>156.1</v>
      </c>
      <c r="DJ74" s="51">
        <v>156.5</v>
      </c>
      <c r="DK74" s="51">
        <v>156.6</v>
      </c>
      <c r="DL74" s="51">
        <v>156.69999999999999</v>
      </c>
      <c r="DM74" s="51">
        <v>157.1</v>
      </c>
      <c r="DN74" s="51">
        <v>157.5</v>
      </c>
      <c r="DO74" s="51">
        <v>158.5</v>
      </c>
      <c r="DP74" s="51">
        <v>159.1</v>
      </c>
      <c r="DQ74" s="51">
        <v>159.80000000000001</v>
      </c>
      <c r="DR74" s="51">
        <v>160.5</v>
      </c>
      <c r="DS74" s="51">
        <v>161.1</v>
      </c>
      <c r="DT74" s="51">
        <v>161.6</v>
      </c>
      <c r="DU74" s="51">
        <v>162.1</v>
      </c>
      <c r="DV74" s="51">
        <v>162.80000000000001</v>
      </c>
      <c r="DW74" s="51">
        <v>163.69999999999999</v>
      </c>
      <c r="DX74" s="51">
        <v>164.9</v>
      </c>
      <c r="DY74" s="51">
        <v>164.9</v>
      </c>
      <c r="DZ74" s="51">
        <v>165.5</v>
      </c>
      <c r="EA74" s="51">
        <v>165.9</v>
      </c>
    </row>
    <row r="75" spans="4:131" x14ac:dyDescent="0.35">
      <c r="D75" s="50" t="s">
        <v>14</v>
      </c>
      <c r="E75" s="51" t="s">
        <v>59</v>
      </c>
      <c r="F75" s="51" t="s">
        <v>33</v>
      </c>
      <c r="G75" s="51">
        <v>107.9</v>
      </c>
      <c r="H75" s="51">
        <v>109</v>
      </c>
      <c r="I75" s="51">
        <v>109.8</v>
      </c>
      <c r="J75" s="51">
        <v>110.6</v>
      </c>
      <c r="K75" s="51">
        <v>111.3</v>
      </c>
      <c r="L75" s="51">
        <v>112.2</v>
      </c>
      <c r="M75" s="51">
        <v>113.1</v>
      </c>
      <c r="N75" s="51">
        <v>114.3</v>
      </c>
      <c r="O75" s="51">
        <v>115.4</v>
      </c>
      <c r="P75" s="51">
        <v>116</v>
      </c>
      <c r="Q75" s="51">
        <v>117.1</v>
      </c>
      <c r="R75" s="51">
        <v>118.1</v>
      </c>
      <c r="S75" s="51">
        <v>119</v>
      </c>
      <c r="T75" s="51">
        <v>119.9</v>
      </c>
      <c r="U75" s="51">
        <v>120.5</v>
      </c>
      <c r="V75" s="51">
        <v>121</v>
      </c>
      <c r="W75" s="51">
        <v>121.7</v>
      </c>
      <c r="X75" s="51">
        <v>122.4</v>
      </c>
      <c r="Y75" s="51">
        <v>123.4</v>
      </c>
      <c r="Z75" s="51">
        <v>124.7</v>
      </c>
      <c r="AA75" s="51">
        <v>125.2</v>
      </c>
      <c r="AB75" s="51">
        <v>125.9</v>
      </c>
      <c r="AC75" s="51">
        <v>126.9</v>
      </c>
      <c r="AD75" s="51">
        <v>127.6</v>
      </c>
      <c r="AE75" s="51">
        <v>128</v>
      </c>
      <c r="AF75" s="51">
        <v>128.6</v>
      </c>
      <c r="AG75" s="51">
        <v>129.19999999999999</v>
      </c>
      <c r="AH75" s="51">
        <v>129.5</v>
      </c>
      <c r="AI75" s="51">
        <v>129.9</v>
      </c>
      <c r="AJ75" s="51">
        <v>130.5</v>
      </c>
      <c r="AK75" s="51">
        <v>131.1</v>
      </c>
      <c r="AL75" s="51">
        <v>131.69999999999999</v>
      </c>
      <c r="AM75" s="51">
        <v>132.30000000000001</v>
      </c>
      <c r="AN75" s="51">
        <v>132.9</v>
      </c>
      <c r="AO75" s="51">
        <v>133.69999999999999</v>
      </c>
      <c r="AP75" s="51">
        <v>134.19999999999999</v>
      </c>
      <c r="AQ75" s="51">
        <v>134.69999999999999</v>
      </c>
      <c r="AR75" s="51">
        <v>135.19999999999999</v>
      </c>
      <c r="AS75" s="51">
        <v>135.4</v>
      </c>
      <c r="AT75" s="51">
        <v>135.9</v>
      </c>
      <c r="AU75" s="51">
        <v>136.30000000000001</v>
      </c>
      <c r="AV75" s="51">
        <v>136.9</v>
      </c>
      <c r="AW75" s="51">
        <v>137.5</v>
      </c>
      <c r="AX75" s="51">
        <v>138.1</v>
      </c>
      <c r="AY75" s="51">
        <v>138.80000000000001</v>
      </c>
      <c r="AZ75" s="51">
        <v>139.6</v>
      </c>
      <c r="BA75" s="51">
        <v>140.30000000000001</v>
      </c>
      <c r="BB75" s="51">
        <v>140.9</v>
      </c>
      <c r="BC75" s="51">
        <v>141.6</v>
      </c>
      <c r="BD75" s="51">
        <v>141.9</v>
      </c>
      <c r="BE75" s="51">
        <v>142.4</v>
      </c>
      <c r="BF75" s="51">
        <v>142.6</v>
      </c>
      <c r="BG75" s="51">
        <v>142.9</v>
      </c>
      <c r="BH75" s="51">
        <v>143.1</v>
      </c>
      <c r="BI75" s="51">
        <v>143.69999999999999</v>
      </c>
      <c r="BJ75" s="51">
        <v>144.5</v>
      </c>
      <c r="BK75" s="51">
        <v>145</v>
      </c>
      <c r="BL75" s="51">
        <v>145.5</v>
      </c>
      <c r="BM75" s="51">
        <v>146</v>
      </c>
      <c r="BN75" s="51">
        <v>146.30000000000001</v>
      </c>
      <c r="BO75" s="51">
        <v>146.80000000000001</v>
      </c>
      <c r="BP75" s="51">
        <v>147.1</v>
      </c>
      <c r="BQ75" s="51">
        <v>147.6</v>
      </c>
      <c r="BR75" s="51">
        <v>148.30000000000001</v>
      </c>
      <c r="BS75" s="51">
        <v>148.69999999999999</v>
      </c>
      <c r="BT75" s="51">
        <v>149</v>
      </c>
      <c r="BU75" s="51">
        <v>149.4</v>
      </c>
      <c r="BV75" s="51">
        <v>150.4</v>
      </c>
      <c r="BW75" s="51">
        <v>151.30000000000001</v>
      </c>
      <c r="BX75" s="51">
        <v>152</v>
      </c>
      <c r="BY75" s="51">
        <v>152.6</v>
      </c>
      <c r="BZ75" s="51">
        <v>152.9</v>
      </c>
      <c r="CA75" s="51">
        <v>153.19999999999999</v>
      </c>
      <c r="CB75" s="51">
        <v>153.5</v>
      </c>
      <c r="CC75" s="51">
        <v>153.9</v>
      </c>
      <c r="CD75" s="51">
        <v>154.19999999999999</v>
      </c>
      <c r="CE75" s="51">
        <v>154.5</v>
      </c>
      <c r="CF75" s="51">
        <v>155.1</v>
      </c>
      <c r="CG75" s="51">
        <v>155.6</v>
      </c>
      <c r="CH75" s="51">
        <v>156.19999999999999</v>
      </c>
      <c r="CI75" s="51">
        <v>156.4</v>
      </c>
      <c r="CJ75" s="51">
        <v>156.80000000000001</v>
      </c>
      <c r="CK75" s="51">
        <v>157.19999999999999</v>
      </c>
      <c r="CL75" s="51">
        <v>157.69999999999999</v>
      </c>
      <c r="CM75" s="51">
        <v>158.5</v>
      </c>
      <c r="CN75" s="51">
        <v>159</v>
      </c>
      <c r="CO75" s="51">
        <v>159.1</v>
      </c>
      <c r="CP75" s="51">
        <v>159.96666666666667</v>
      </c>
      <c r="CQ75" s="51">
        <v>160.83333333333331</v>
      </c>
      <c r="CR75" s="51">
        <v>161.69999999999999</v>
      </c>
      <c r="CS75" s="51">
        <v>161.69999999999999</v>
      </c>
      <c r="CT75" s="51">
        <v>163.30000000000001</v>
      </c>
      <c r="CU75" s="51">
        <v>164.4</v>
      </c>
      <c r="CV75" s="51">
        <v>164.8</v>
      </c>
      <c r="CW75" s="51">
        <v>165.1</v>
      </c>
      <c r="CX75" s="51">
        <v>166.1</v>
      </c>
      <c r="CY75" s="51">
        <v>167.2</v>
      </c>
      <c r="CZ75" s="51">
        <v>169.4</v>
      </c>
      <c r="DA75" s="51">
        <v>170.3</v>
      </c>
      <c r="DB75" s="51">
        <v>171.4</v>
      </c>
      <c r="DC75" s="51">
        <v>171.1</v>
      </c>
      <c r="DD75" s="51">
        <v>173.3</v>
      </c>
      <c r="DE75" s="51">
        <v>173.5</v>
      </c>
      <c r="DF75" s="51">
        <v>175.1</v>
      </c>
      <c r="DG75" s="51">
        <v>175.1</v>
      </c>
      <c r="DH75" s="51">
        <v>175.9</v>
      </c>
      <c r="DI75" s="51">
        <v>176.8</v>
      </c>
      <c r="DJ75" s="51">
        <v>178.2</v>
      </c>
      <c r="DK75" s="51">
        <v>179</v>
      </c>
      <c r="DL75" s="51">
        <v>180</v>
      </c>
      <c r="DM75" s="51">
        <v>181.5</v>
      </c>
      <c r="DN75" s="51">
        <v>183.3</v>
      </c>
      <c r="DO75" s="51">
        <v>184.9</v>
      </c>
      <c r="DP75" s="51">
        <v>186.3</v>
      </c>
      <c r="DQ75" s="51">
        <v>187.7</v>
      </c>
      <c r="DR75" s="51">
        <v>188.9</v>
      </c>
      <c r="DS75" s="51">
        <v>190.4</v>
      </c>
      <c r="DT75" s="51">
        <v>191.5</v>
      </c>
      <c r="DU75" s="51">
        <v>192.4</v>
      </c>
      <c r="DV75" s="51">
        <v>193.3</v>
      </c>
      <c r="DW75" s="51">
        <v>194.3</v>
      </c>
      <c r="DX75" s="51">
        <v>196.6</v>
      </c>
      <c r="DY75" s="51">
        <v>196.6</v>
      </c>
      <c r="DZ75" s="51">
        <v>197</v>
      </c>
      <c r="EA75" s="51">
        <v>197.7</v>
      </c>
    </row>
    <row r="76" spans="4:131" x14ac:dyDescent="0.35">
      <c r="D76" s="50" t="s">
        <v>15</v>
      </c>
      <c r="E76" s="51" t="s">
        <v>59</v>
      </c>
      <c r="F76" s="51" t="s">
        <v>33</v>
      </c>
      <c r="G76" s="51">
        <v>105.9</v>
      </c>
      <c r="H76" s="51">
        <v>107.2</v>
      </c>
      <c r="I76" s="51">
        <v>107.3</v>
      </c>
      <c r="J76" s="51">
        <v>108.8</v>
      </c>
      <c r="K76" s="51">
        <v>111.1</v>
      </c>
      <c r="L76" s="51">
        <v>115</v>
      </c>
      <c r="M76" s="51">
        <v>117.5</v>
      </c>
      <c r="N76" s="51">
        <v>119.6</v>
      </c>
      <c r="O76" s="51">
        <v>119.2</v>
      </c>
      <c r="P76" s="51">
        <v>120.8</v>
      </c>
      <c r="Q76" s="51">
        <v>122.9</v>
      </c>
      <c r="R76" s="51">
        <v>117.8</v>
      </c>
      <c r="S76" s="51">
        <v>115.5</v>
      </c>
      <c r="T76" s="51">
        <v>115.2</v>
      </c>
      <c r="U76" s="51">
        <v>116</v>
      </c>
      <c r="V76" s="51">
        <v>118.2</v>
      </c>
      <c r="W76" s="51">
        <v>120</v>
      </c>
      <c r="X76" s="51">
        <v>122</v>
      </c>
      <c r="Y76" s="51">
        <v>127.1</v>
      </c>
      <c r="Z76" s="51">
        <v>128.9</v>
      </c>
      <c r="AA76" s="51">
        <v>126.7</v>
      </c>
      <c r="AB76" s="51">
        <v>125.8</v>
      </c>
      <c r="AC76" s="51">
        <v>125.4</v>
      </c>
      <c r="AD76" s="51">
        <v>124</v>
      </c>
      <c r="AE76" s="51">
        <v>123.5</v>
      </c>
      <c r="AF76" s="51">
        <v>123.7</v>
      </c>
      <c r="AG76" s="51">
        <v>123.9</v>
      </c>
      <c r="AH76" s="51">
        <v>124.6</v>
      </c>
      <c r="AI76" s="51">
        <v>126.1</v>
      </c>
      <c r="AJ76" s="51">
        <v>128.5</v>
      </c>
      <c r="AK76" s="51">
        <v>129.5</v>
      </c>
      <c r="AL76" s="51">
        <v>131.1</v>
      </c>
      <c r="AM76" s="51">
        <v>131.5</v>
      </c>
      <c r="AN76" s="51">
        <v>132.6</v>
      </c>
      <c r="AO76" s="51">
        <v>133.30000000000001</v>
      </c>
      <c r="AP76" s="51">
        <v>131.5</v>
      </c>
      <c r="AQ76" s="51">
        <v>131.19999999999999</v>
      </c>
      <c r="AR76" s="51">
        <v>129.1</v>
      </c>
      <c r="AS76" s="51">
        <v>128.9</v>
      </c>
      <c r="AT76" s="51">
        <v>131.80000000000001</v>
      </c>
      <c r="AU76" s="51">
        <v>134.6</v>
      </c>
      <c r="AV76" s="51">
        <v>138.19999999999999</v>
      </c>
      <c r="AW76" s="51">
        <v>139.80000000000001</v>
      </c>
      <c r="AX76" s="51">
        <v>137.6</v>
      </c>
      <c r="AY76" s="51">
        <v>135.69999999999999</v>
      </c>
      <c r="AZ76" s="51">
        <v>136.30000000000001</v>
      </c>
      <c r="BA76" s="51">
        <v>135.19999999999999</v>
      </c>
      <c r="BB76" s="51">
        <v>132.80000000000001</v>
      </c>
      <c r="BC76" s="51">
        <v>132</v>
      </c>
      <c r="BD76" s="51">
        <v>132.1</v>
      </c>
      <c r="BE76" s="51">
        <v>132.6</v>
      </c>
      <c r="BF76" s="51">
        <v>133.4</v>
      </c>
      <c r="BG76" s="51">
        <v>133.6</v>
      </c>
      <c r="BH76" s="51">
        <v>135.69999999999999</v>
      </c>
      <c r="BI76" s="51">
        <v>139.80000000000001</v>
      </c>
      <c r="BJ76" s="51">
        <v>140.5</v>
      </c>
      <c r="BK76" s="51">
        <v>138</v>
      </c>
      <c r="BL76" s="51">
        <v>139.69999999999999</v>
      </c>
      <c r="BM76" s="51">
        <v>141.5</v>
      </c>
      <c r="BN76" s="51">
        <v>138.80000000000001</v>
      </c>
      <c r="BO76" s="51">
        <v>137.19999999999999</v>
      </c>
      <c r="BP76" s="51">
        <v>135.6</v>
      </c>
      <c r="BQ76" s="51">
        <v>134.80000000000001</v>
      </c>
      <c r="BR76" s="51">
        <v>135.69999999999999</v>
      </c>
      <c r="BS76" s="51">
        <v>136.4</v>
      </c>
      <c r="BT76" s="51">
        <v>138.4</v>
      </c>
      <c r="BU76" s="51">
        <v>140.30000000000001</v>
      </c>
      <c r="BV76" s="51">
        <v>140.1</v>
      </c>
      <c r="BW76" s="51">
        <v>138.9</v>
      </c>
      <c r="BX76" s="51">
        <v>139.4</v>
      </c>
      <c r="BY76" s="51">
        <v>139.1</v>
      </c>
      <c r="BZ76" s="51">
        <v>137.6</v>
      </c>
      <c r="CA76" s="51">
        <v>137.30000000000001</v>
      </c>
      <c r="CB76" s="51">
        <v>138</v>
      </c>
      <c r="CC76" s="51">
        <v>139.6</v>
      </c>
      <c r="CD76" s="51">
        <v>141.69999999999999</v>
      </c>
      <c r="CE76" s="51">
        <v>143.80000000000001</v>
      </c>
      <c r="CF76" s="51">
        <v>145.6</v>
      </c>
      <c r="CG76" s="51">
        <v>147.69999999999999</v>
      </c>
      <c r="CH76" s="51">
        <v>149.1</v>
      </c>
      <c r="CI76" s="51">
        <v>149.5</v>
      </c>
      <c r="CJ76" s="51">
        <v>151.9</v>
      </c>
      <c r="CK76" s="51">
        <v>153.6</v>
      </c>
      <c r="CL76" s="51">
        <v>156.30000000000001</v>
      </c>
      <c r="CM76" s="51">
        <v>154.4</v>
      </c>
      <c r="CN76" s="51">
        <v>151.69999999999999</v>
      </c>
      <c r="CO76" s="51">
        <v>150.1</v>
      </c>
      <c r="CP76" s="51">
        <v>153.5</v>
      </c>
      <c r="CQ76" s="51">
        <v>155.25</v>
      </c>
      <c r="CR76" s="51">
        <v>157</v>
      </c>
      <c r="CS76" s="51">
        <v>157</v>
      </c>
      <c r="CT76" s="51">
        <v>159.9</v>
      </c>
      <c r="CU76" s="51">
        <v>161.30000000000001</v>
      </c>
      <c r="CV76" s="51">
        <v>164.4</v>
      </c>
      <c r="CW76" s="51">
        <v>167</v>
      </c>
      <c r="CX76" s="51">
        <v>167</v>
      </c>
      <c r="CY76" s="51">
        <v>163.4</v>
      </c>
      <c r="CZ76" s="51">
        <v>160.80000000000001</v>
      </c>
      <c r="DA76" s="51">
        <v>160.4</v>
      </c>
      <c r="DB76" s="51">
        <v>162</v>
      </c>
      <c r="DC76" s="51">
        <v>164.2</v>
      </c>
      <c r="DD76" s="51">
        <v>166.2</v>
      </c>
      <c r="DE76" s="51">
        <v>167.9</v>
      </c>
      <c r="DF76" s="51">
        <v>167.3</v>
      </c>
      <c r="DG76" s="51">
        <v>167.3</v>
      </c>
      <c r="DH76" s="51">
        <v>171.5</v>
      </c>
      <c r="DI76" s="51">
        <v>173.5</v>
      </c>
      <c r="DJ76" s="51">
        <v>172.2</v>
      </c>
      <c r="DK76" s="51">
        <v>170.3</v>
      </c>
      <c r="DL76" s="51">
        <v>170.2</v>
      </c>
      <c r="DM76" s="51">
        <v>171.5</v>
      </c>
      <c r="DN76" s="51">
        <v>174.5</v>
      </c>
      <c r="DO76" s="51">
        <v>177.5</v>
      </c>
      <c r="DP76" s="51">
        <v>179.3</v>
      </c>
      <c r="DQ76" s="51">
        <v>179.4</v>
      </c>
      <c r="DR76" s="51">
        <v>180.4</v>
      </c>
      <c r="DS76" s="51">
        <v>181.8</v>
      </c>
      <c r="DT76" s="51">
        <v>183.3</v>
      </c>
      <c r="DU76" s="51">
        <v>181.3</v>
      </c>
      <c r="DV76" s="51">
        <v>178.6</v>
      </c>
      <c r="DW76" s="51">
        <v>179.5</v>
      </c>
      <c r="DX76" s="51">
        <v>180.7</v>
      </c>
      <c r="DY76" s="51">
        <v>180.8</v>
      </c>
      <c r="DZ76" s="51">
        <v>182.1</v>
      </c>
      <c r="EA76" s="51">
        <v>183.1</v>
      </c>
    </row>
    <row r="77" spans="4:131" x14ac:dyDescent="0.35">
      <c r="D77" s="50" t="s">
        <v>16</v>
      </c>
      <c r="E77" s="51" t="s">
        <v>60</v>
      </c>
      <c r="F77" s="51" t="s">
        <v>33</v>
      </c>
      <c r="G77" s="51">
        <v>105.2</v>
      </c>
      <c r="H77" s="51">
        <v>106</v>
      </c>
      <c r="I77" s="51">
        <v>106.8</v>
      </c>
      <c r="J77" s="51">
        <v>108.5</v>
      </c>
      <c r="K77" s="51">
        <v>109.8</v>
      </c>
      <c r="L77" s="51">
        <v>110.9</v>
      </c>
      <c r="M77" s="51">
        <v>111.7</v>
      </c>
      <c r="N77" s="51">
        <v>112.4</v>
      </c>
      <c r="O77" s="51">
        <v>112.9</v>
      </c>
      <c r="P77" s="51">
        <v>113.5</v>
      </c>
      <c r="Q77" s="51">
        <v>114.1</v>
      </c>
      <c r="R77" s="51">
        <v>115</v>
      </c>
      <c r="S77" s="51">
        <v>115.7</v>
      </c>
      <c r="T77" s="51">
        <v>116.2</v>
      </c>
      <c r="U77" s="51">
        <v>116.7</v>
      </c>
      <c r="V77" s="51">
        <v>117.6</v>
      </c>
      <c r="W77" s="51">
        <v>118.3</v>
      </c>
      <c r="X77" s="51">
        <v>119</v>
      </c>
      <c r="Y77" s="51">
        <v>121</v>
      </c>
      <c r="Z77" s="51">
        <v>123</v>
      </c>
      <c r="AA77" s="51">
        <v>124.3</v>
      </c>
      <c r="AB77" s="51">
        <v>124.3</v>
      </c>
      <c r="AC77" s="51">
        <v>125.8</v>
      </c>
      <c r="AD77" s="51">
        <v>126.4</v>
      </c>
      <c r="AE77" s="51">
        <v>127.4</v>
      </c>
      <c r="AF77" s="51">
        <v>128.1</v>
      </c>
      <c r="AG77" s="51">
        <v>128.80000000000001</v>
      </c>
      <c r="AH77" s="51">
        <v>130.1</v>
      </c>
      <c r="AI77" s="51">
        <v>131.30000000000001</v>
      </c>
      <c r="AJ77" s="51">
        <v>132.1</v>
      </c>
      <c r="AK77" s="51">
        <v>133.1</v>
      </c>
      <c r="AL77" s="51">
        <v>134.19999999999999</v>
      </c>
      <c r="AM77" s="51">
        <v>134.69999999999999</v>
      </c>
      <c r="AN77" s="51">
        <v>135.30000000000001</v>
      </c>
      <c r="AO77" s="51">
        <v>137.6</v>
      </c>
      <c r="AP77" s="51">
        <v>138.19999999999999</v>
      </c>
      <c r="AQ77" s="51">
        <v>139.5</v>
      </c>
      <c r="AR77" s="51">
        <v>140</v>
      </c>
      <c r="AS77" s="51">
        <v>140.6</v>
      </c>
      <c r="AT77" s="51">
        <v>141.5</v>
      </c>
      <c r="AU77" s="51">
        <v>142.19999999999999</v>
      </c>
      <c r="AV77" s="51">
        <v>142.69999999999999</v>
      </c>
      <c r="AW77" s="51">
        <v>142.9</v>
      </c>
      <c r="AX77" s="51">
        <v>143.6</v>
      </c>
      <c r="AY77" s="51">
        <v>143.9</v>
      </c>
      <c r="AZ77" s="51">
        <v>144.30000000000001</v>
      </c>
      <c r="BA77" s="51">
        <v>144.30000000000001</v>
      </c>
      <c r="BB77" s="51">
        <v>145</v>
      </c>
      <c r="BC77" s="51">
        <v>145.6</v>
      </c>
      <c r="BD77" s="51">
        <v>146.30000000000001</v>
      </c>
      <c r="BE77" s="51">
        <v>147.5</v>
      </c>
      <c r="BF77" s="51">
        <v>148</v>
      </c>
      <c r="BG77" s="51">
        <v>148.30000000000001</v>
      </c>
      <c r="BH77" s="51">
        <v>148.6</v>
      </c>
      <c r="BI77" s="51">
        <v>150.5</v>
      </c>
      <c r="BJ77" s="51">
        <v>152.1</v>
      </c>
      <c r="BK77" s="51">
        <v>153.6</v>
      </c>
      <c r="BL77" s="51">
        <v>154.6</v>
      </c>
      <c r="BM77" s="51">
        <v>156.19999999999999</v>
      </c>
      <c r="BN77" s="51">
        <v>157</v>
      </c>
      <c r="BO77" s="51">
        <v>157.69999999999999</v>
      </c>
      <c r="BP77" s="51">
        <v>159.30000000000001</v>
      </c>
      <c r="BQ77" s="51">
        <v>159.69999999999999</v>
      </c>
      <c r="BR77" s="51">
        <v>159.19999999999999</v>
      </c>
      <c r="BS77" s="51">
        <v>160.30000000000001</v>
      </c>
      <c r="BT77" s="51">
        <v>161</v>
      </c>
      <c r="BU77" s="51">
        <v>161.4</v>
      </c>
      <c r="BV77" s="51">
        <v>162.1</v>
      </c>
      <c r="BW77" s="51">
        <v>163.30000000000001</v>
      </c>
      <c r="BX77" s="51">
        <v>164</v>
      </c>
      <c r="BY77" s="51">
        <v>164.4</v>
      </c>
      <c r="BZ77" s="51">
        <v>164.6</v>
      </c>
      <c r="CA77" s="51">
        <v>164.7</v>
      </c>
      <c r="CB77" s="51">
        <v>164.9</v>
      </c>
      <c r="CC77" s="51">
        <v>165.3</v>
      </c>
      <c r="CD77" s="51">
        <v>165.75</v>
      </c>
      <c r="CE77" s="51">
        <v>166.2</v>
      </c>
      <c r="CF77" s="51">
        <v>166.7</v>
      </c>
      <c r="CG77" s="51">
        <v>167.2</v>
      </c>
      <c r="CH77" s="51">
        <v>167.9</v>
      </c>
      <c r="CI77" s="51">
        <v>168.6</v>
      </c>
      <c r="CJ77" s="51">
        <v>169.3</v>
      </c>
      <c r="CK77" s="51">
        <v>169.9</v>
      </c>
      <c r="CL77" s="51">
        <v>170.4</v>
      </c>
      <c r="CM77" s="51">
        <v>170.8</v>
      </c>
      <c r="CN77" s="51">
        <v>172</v>
      </c>
      <c r="CO77" s="51">
        <v>173.3</v>
      </c>
      <c r="CP77" s="51">
        <v>177.76666666666668</v>
      </c>
      <c r="CQ77" s="51">
        <v>182.23333333333332</v>
      </c>
      <c r="CR77" s="51">
        <v>186.7</v>
      </c>
      <c r="CS77" s="51">
        <v>186.7</v>
      </c>
      <c r="CT77" s="51">
        <v>187.2</v>
      </c>
      <c r="CU77" s="51">
        <v>188.7</v>
      </c>
      <c r="CV77" s="51">
        <v>188.7</v>
      </c>
      <c r="CW77" s="51">
        <v>188.8</v>
      </c>
      <c r="CX77" s="51">
        <v>190.2</v>
      </c>
      <c r="CY77" s="51">
        <v>191.8</v>
      </c>
      <c r="CZ77" s="51">
        <v>193.3</v>
      </c>
      <c r="DA77" s="51">
        <v>193.5</v>
      </c>
      <c r="DB77" s="51">
        <v>194.4</v>
      </c>
      <c r="DC77" s="51">
        <v>198.2</v>
      </c>
      <c r="DD77" s="51">
        <v>195.6</v>
      </c>
      <c r="DE77" s="51">
        <v>195.5</v>
      </c>
      <c r="DF77" s="51">
        <v>196.5</v>
      </c>
      <c r="DG77" s="51">
        <v>196.5</v>
      </c>
      <c r="DH77" s="51">
        <v>197</v>
      </c>
      <c r="DI77" s="51">
        <v>197</v>
      </c>
      <c r="DJ77" s="51">
        <v>196.8</v>
      </c>
      <c r="DK77" s="51">
        <v>196.4</v>
      </c>
      <c r="DL77" s="51">
        <v>196.5</v>
      </c>
      <c r="DM77" s="51">
        <v>197.5</v>
      </c>
      <c r="DN77" s="51">
        <v>197.1</v>
      </c>
      <c r="DO77" s="51">
        <v>197.5</v>
      </c>
      <c r="DP77" s="51">
        <v>198.3</v>
      </c>
      <c r="DQ77" s="51">
        <v>198.6</v>
      </c>
      <c r="DR77" s="51">
        <v>198.7</v>
      </c>
      <c r="DS77" s="51">
        <v>199.7</v>
      </c>
      <c r="DT77" s="51">
        <v>200.1</v>
      </c>
      <c r="DU77" s="51">
        <v>200.6</v>
      </c>
      <c r="DV77" s="51">
        <v>201.1</v>
      </c>
      <c r="DW77" s="51">
        <v>201.6</v>
      </c>
      <c r="DX77" s="51">
        <v>202.7</v>
      </c>
      <c r="DY77" s="51">
        <v>202.7</v>
      </c>
      <c r="DZ77" s="51">
        <v>203.5</v>
      </c>
      <c r="EA77" s="51">
        <v>204.2</v>
      </c>
    </row>
    <row r="78" spans="4:131" x14ac:dyDescent="0.35">
      <c r="D78" s="50" t="s">
        <v>17</v>
      </c>
      <c r="E78" s="51" t="s">
        <v>61</v>
      </c>
      <c r="F78" s="51" t="s">
        <v>33</v>
      </c>
      <c r="G78" s="51">
        <v>105.9</v>
      </c>
      <c r="H78" s="51">
        <v>106.6</v>
      </c>
      <c r="I78" s="51">
        <v>107.2</v>
      </c>
      <c r="J78" s="51">
        <v>107.9</v>
      </c>
      <c r="K78" s="51">
        <v>108.5</v>
      </c>
      <c r="L78" s="51">
        <v>109.2</v>
      </c>
      <c r="M78" s="51">
        <v>109.8</v>
      </c>
      <c r="N78" s="51">
        <v>110.6</v>
      </c>
      <c r="O78" s="51">
        <v>111.4</v>
      </c>
      <c r="P78" s="51">
        <v>112.5</v>
      </c>
      <c r="Q78" s="51">
        <v>113.5</v>
      </c>
      <c r="R78" s="51">
        <v>114.2</v>
      </c>
      <c r="S78" s="51">
        <v>114.8</v>
      </c>
      <c r="T78" s="51">
        <v>115.3</v>
      </c>
      <c r="U78" s="51">
        <v>115.8</v>
      </c>
      <c r="V78" s="51">
        <v>116.3</v>
      </c>
      <c r="W78" s="51">
        <v>116.8</v>
      </c>
      <c r="X78" s="51">
        <v>117.4</v>
      </c>
      <c r="Y78" s="51">
        <v>118</v>
      </c>
      <c r="Z78" s="51">
        <v>118.6</v>
      </c>
      <c r="AA78" s="51">
        <v>119.2</v>
      </c>
      <c r="AB78" s="51">
        <v>119.6</v>
      </c>
      <c r="AC78" s="51">
        <v>120.3</v>
      </c>
      <c r="AD78" s="51">
        <v>120.7</v>
      </c>
      <c r="AE78" s="51">
        <v>121</v>
      </c>
      <c r="AF78" s="51">
        <v>121.3</v>
      </c>
      <c r="AG78" s="51">
        <v>121.7</v>
      </c>
      <c r="AH78" s="51">
        <v>122.1</v>
      </c>
      <c r="AI78" s="51">
        <v>122.4</v>
      </c>
      <c r="AJ78" s="51">
        <v>123.2</v>
      </c>
      <c r="AK78" s="51">
        <v>123.5</v>
      </c>
      <c r="AL78" s="51">
        <v>123.7</v>
      </c>
      <c r="AM78" s="51">
        <v>124</v>
      </c>
      <c r="AN78" s="51">
        <v>124.4</v>
      </c>
      <c r="AO78" s="51">
        <v>125</v>
      </c>
      <c r="AP78" s="51">
        <v>125.4</v>
      </c>
      <c r="AQ78" s="51">
        <v>125.8</v>
      </c>
      <c r="AR78" s="51">
        <v>126.2</v>
      </c>
      <c r="AS78" s="51">
        <v>126.4</v>
      </c>
      <c r="AT78" s="51">
        <v>126.8</v>
      </c>
      <c r="AU78" s="51">
        <v>127.2</v>
      </c>
      <c r="AV78" s="51">
        <v>127.6</v>
      </c>
      <c r="AW78" s="51">
        <v>127.9</v>
      </c>
      <c r="AX78" s="51">
        <v>128.30000000000001</v>
      </c>
      <c r="AY78" s="51">
        <v>128.69999999999999</v>
      </c>
      <c r="AZ78" s="51">
        <v>129.1</v>
      </c>
      <c r="BA78" s="51">
        <v>129.6</v>
      </c>
      <c r="BB78" s="51">
        <v>130</v>
      </c>
      <c r="BC78" s="51">
        <v>130.19999999999999</v>
      </c>
      <c r="BD78" s="51">
        <v>130.5</v>
      </c>
      <c r="BE78" s="51">
        <v>130.80000000000001</v>
      </c>
      <c r="BF78" s="51">
        <v>131.19999999999999</v>
      </c>
      <c r="BG78" s="51">
        <v>131.5</v>
      </c>
      <c r="BH78" s="51">
        <v>131.5</v>
      </c>
      <c r="BI78" s="51">
        <v>131.6</v>
      </c>
      <c r="BJ78" s="51">
        <v>132.69999999999999</v>
      </c>
      <c r="BK78" s="51">
        <v>133.30000000000001</v>
      </c>
      <c r="BL78" s="51">
        <v>134</v>
      </c>
      <c r="BM78" s="51">
        <v>135</v>
      </c>
      <c r="BN78" s="51">
        <v>135.6</v>
      </c>
      <c r="BO78" s="51">
        <v>136</v>
      </c>
      <c r="BP78" s="51">
        <v>136.30000000000001</v>
      </c>
      <c r="BQ78" s="51">
        <v>136.69999999999999</v>
      </c>
      <c r="BR78" s="51">
        <v>137.80000000000001</v>
      </c>
      <c r="BS78" s="51">
        <v>138.6</v>
      </c>
      <c r="BT78" s="51">
        <v>138.9</v>
      </c>
      <c r="BU78" s="51">
        <v>139.6</v>
      </c>
      <c r="BV78" s="51">
        <v>140</v>
      </c>
      <c r="BW78" s="51">
        <v>140.80000000000001</v>
      </c>
      <c r="BX78" s="51">
        <v>141.5</v>
      </c>
      <c r="BY78" s="51">
        <v>142.4</v>
      </c>
      <c r="BZ78" s="51">
        <v>142.69999999999999</v>
      </c>
      <c r="CA78" s="51">
        <v>143</v>
      </c>
      <c r="CB78" s="51">
        <v>143.30000000000001</v>
      </c>
      <c r="CC78" s="51">
        <v>143.5</v>
      </c>
      <c r="CD78" s="51">
        <v>143.75</v>
      </c>
      <c r="CE78" s="51">
        <v>144</v>
      </c>
      <c r="CF78" s="51">
        <v>144.30000000000001</v>
      </c>
      <c r="CG78" s="51">
        <v>144.69999999999999</v>
      </c>
      <c r="CH78" s="51">
        <v>145</v>
      </c>
      <c r="CI78" s="51">
        <v>145.30000000000001</v>
      </c>
      <c r="CJ78" s="51">
        <v>145.9</v>
      </c>
      <c r="CK78" s="51">
        <v>146.30000000000001</v>
      </c>
      <c r="CL78" s="51">
        <v>146.80000000000001</v>
      </c>
      <c r="CM78" s="51">
        <v>147</v>
      </c>
      <c r="CN78" s="51">
        <v>147.30000000000001</v>
      </c>
      <c r="CO78" s="51">
        <v>147.69999999999999</v>
      </c>
      <c r="CP78" s="51">
        <v>148.16666666666666</v>
      </c>
      <c r="CQ78" s="51">
        <v>148.63333333333333</v>
      </c>
      <c r="CR78" s="51">
        <v>149.1</v>
      </c>
      <c r="CS78" s="51">
        <v>149.1</v>
      </c>
      <c r="CT78" s="51">
        <v>150</v>
      </c>
      <c r="CU78" s="51">
        <v>150.19999999999999</v>
      </c>
      <c r="CV78" s="51">
        <v>150.5</v>
      </c>
      <c r="CW78" s="51">
        <v>151.1</v>
      </c>
      <c r="CX78" s="51">
        <v>151.9</v>
      </c>
      <c r="CY78" s="51">
        <v>152.5</v>
      </c>
      <c r="CZ78" s="51">
        <v>154.19999999999999</v>
      </c>
      <c r="DA78" s="51">
        <v>155.1</v>
      </c>
      <c r="DB78" s="51">
        <v>155.9</v>
      </c>
      <c r="DC78" s="51">
        <v>156.5</v>
      </c>
      <c r="DD78" s="51">
        <v>157.30000000000001</v>
      </c>
      <c r="DE78" s="51">
        <v>157.9</v>
      </c>
      <c r="DF78" s="51">
        <v>159.80000000000001</v>
      </c>
      <c r="DG78" s="51">
        <v>159.80000000000001</v>
      </c>
      <c r="DH78" s="51">
        <v>160.80000000000001</v>
      </c>
      <c r="DI78" s="51">
        <v>162.30000000000001</v>
      </c>
      <c r="DJ78" s="51">
        <v>163.30000000000001</v>
      </c>
      <c r="DK78" s="51">
        <v>164.7</v>
      </c>
      <c r="DL78" s="51">
        <v>165.7</v>
      </c>
      <c r="DM78" s="51">
        <v>167.1</v>
      </c>
      <c r="DN78" s="51">
        <v>168.4</v>
      </c>
      <c r="DO78" s="51">
        <v>170</v>
      </c>
      <c r="DP78" s="51">
        <v>171.6</v>
      </c>
      <c r="DQ78" s="51">
        <v>172.7</v>
      </c>
      <c r="DR78" s="51">
        <v>173.7</v>
      </c>
      <c r="DS78" s="51">
        <v>175</v>
      </c>
      <c r="DT78" s="51">
        <v>175.5</v>
      </c>
      <c r="DU78" s="51">
        <v>176.7</v>
      </c>
      <c r="DV78" s="51">
        <v>177.7</v>
      </c>
      <c r="DW78" s="51">
        <v>178.7</v>
      </c>
      <c r="DX78" s="51">
        <v>180.3</v>
      </c>
      <c r="DY78" s="51">
        <v>180.2</v>
      </c>
      <c r="DZ78" s="51">
        <v>181</v>
      </c>
      <c r="EA78" s="51">
        <v>181.3</v>
      </c>
    </row>
    <row r="79" spans="4:131" x14ac:dyDescent="0.35">
      <c r="D79" s="50" t="s">
        <v>18</v>
      </c>
      <c r="E79" s="51" t="s">
        <v>61</v>
      </c>
      <c r="F79" s="51" t="s">
        <v>33</v>
      </c>
      <c r="G79" s="51">
        <v>105</v>
      </c>
      <c r="H79" s="51">
        <v>105.5</v>
      </c>
      <c r="I79" s="51">
        <v>106</v>
      </c>
      <c r="J79" s="51">
        <v>106.4</v>
      </c>
      <c r="K79" s="51">
        <v>106.7</v>
      </c>
      <c r="L79" s="51">
        <v>107.2</v>
      </c>
      <c r="M79" s="51">
        <v>107.8</v>
      </c>
      <c r="N79" s="51">
        <v>108.3</v>
      </c>
      <c r="O79" s="51">
        <v>109</v>
      </c>
      <c r="P79" s="51">
        <v>109.7</v>
      </c>
      <c r="Q79" s="51">
        <v>110.3</v>
      </c>
      <c r="R79" s="51">
        <v>110.9</v>
      </c>
      <c r="S79" s="51">
        <v>111.3</v>
      </c>
      <c r="T79" s="51">
        <v>111.7</v>
      </c>
      <c r="U79" s="51">
        <v>112.1</v>
      </c>
      <c r="V79" s="51">
        <v>112.5</v>
      </c>
      <c r="W79" s="51">
        <v>112.9</v>
      </c>
      <c r="X79" s="51">
        <v>113.2</v>
      </c>
      <c r="Y79" s="51">
        <v>113.6</v>
      </c>
      <c r="Z79" s="51">
        <v>114.1</v>
      </c>
      <c r="AA79" s="51">
        <v>114.5</v>
      </c>
      <c r="AB79" s="51">
        <v>114.9</v>
      </c>
      <c r="AC79" s="51">
        <v>115.4</v>
      </c>
      <c r="AD79" s="51">
        <v>115.8</v>
      </c>
      <c r="AE79" s="51">
        <v>116.1</v>
      </c>
      <c r="AF79" s="51">
        <v>116.5</v>
      </c>
      <c r="AG79" s="51">
        <v>116.9</v>
      </c>
      <c r="AH79" s="51">
        <v>117.2</v>
      </c>
      <c r="AI79" s="51">
        <v>117.4</v>
      </c>
      <c r="AJ79" s="51">
        <v>117.6</v>
      </c>
      <c r="AK79" s="51">
        <v>117.9</v>
      </c>
      <c r="AL79" s="51">
        <v>118.2</v>
      </c>
      <c r="AM79" s="51">
        <v>118.6</v>
      </c>
      <c r="AN79" s="51">
        <v>118.8</v>
      </c>
      <c r="AO79" s="51">
        <v>119.3</v>
      </c>
      <c r="AP79" s="51">
        <v>119.5</v>
      </c>
      <c r="AQ79" s="51">
        <v>119.8</v>
      </c>
      <c r="AR79" s="51">
        <v>120.1</v>
      </c>
      <c r="AS79" s="51">
        <v>120.3</v>
      </c>
      <c r="AT79" s="51">
        <v>120.5</v>
      </c>
      <c r="AU79" s="51">
        <v>120.7</v>
      </c>
      <c r="AV79" s="51">
        <v>121.1</v>
      </c>
      <c r="AW79" s="51">
        <v>121.1</v>
      </c>
      <c r="AX79" s="51">
        <v>121.4</v>
      </c>
      <c r="AY79" s="51">
        <v>121.6</v>
      </c>
      <c r="AZ79" s="51">
        <v>121.9</v>
      </c>
      <c r="BA79" s="51">
        <v>122.1</v>
      </c>
      <c r="BB79" s="51">
        <v>122.2</v>
      </c>
      <c r="BC79" s="51">
        <v>122.3</v>
      </c>
      <c r="BD79" s="51">
        <v>122.5</v>
      </c>
      <c r="BE79" s="51">
        <v>122.8</v>
      </c>
      <c r="BF79" s="51">
        <v>123</v>
      </c>
      <c r="BG79" s="51">
        <v>123.2</v>
      </c>
      <c r="BH79" s="51">
        <v>123.2</v>
      </c>
      <c r="BI79" s="51">
        <v>123.7</v>
      </c>
      <c r="BJ79" s="51">
        <v>124.3</v>
      </c>
      <c r="BK79" s="51">
        <v>124.6</v>
      </c>
      <c r="BL79" s="51">
        <v>124.9</v>
      </c>
      <c r="BM79" s="51">
        <v>125.4</v>
      </c>
      <c r="BN79" s="51">
        <v>125.6</v>
      </c>
      <c r="BO79" s="51">
        <v>125.9</v>
      </c>
      <c r="BP79" s="51">
        <v>126.1</v>
      </c>
      <c r="BQ79" s="51">
        <v>126.7</v>
      </c>
      <c r="BR79" s="51">
        <v>127.4</v>
      </c>
      <c r="BS79" s="51">
        <v>127.9</v>
      </c>
      <c r="BT79" s="51">
        <v>128.69999999999999</v>
      </c>
      <c r="BU79" s="51">
        <v>128.9</v>
      </c>
      <c r="BV79" s="51">
        <v>129</v>
      </c>
      <c r="BW79" s="51">
        <v>129.30000000000001</v>
      </c>
      <c r="BX79" s="51">
        <v>129.80000000000001</v>
      </c>
      <c r="BY79" s="51">
        <v>130.19999999999999</v>
      </c>
      <c r="BZ79" s="51">
        <v>130.30000000000001</v>
      </c>
      <c r="CA79" s="51">
        <v>130.4</v>
      </c>
      <c r="CB79" s="51">
        <v>130.80000000000001</v>
      </c>
      <c r="CC79" s="51">
        <v>131.19999999999999</v>
      </c>
      <c r="CD79" s="51">
        <v>131.44999999999999</v>
      </c>
      <c r="CE79" s="51">
        <v>131.69999999999999</v>
      </c>
      <c r="CF79" s="51">
        <v>131.69999999999999</v>
      </c>
      <c r="CG79" s="51">
        <v>131.9</v>
      </c>
      <c r="CH79" s="51">
        <v>132.19999999999999</v>
      </c>
      <c r="CI79" s="51">
        <v>132.19999999999999</v>
      </c>
      <c r="CJ79" s="51">
        <v>132.4</v>
      </c>
      <c r="CK79" s="51">
        <v>132.6</v>
      </c>
      <c r="CL79" s="51">
        <v>132.80000000000001</v>
      </c>
      <c r="CM79" s="51">
        <v>133.19999999999999</v>
      </c>
      <c r="CN79" s="51">
        <v>133.5</v>
      </c>
      <c r="CO79" s="51">
        <v>133.80000000000001</v>
      </c>
      <c r="CP79" s="51">
        <v>134.73333333333335</v>
      </c>
      <c r="CQ79" s="51">
        <v>135.66666666666666</v>
      </c>
      <c r="CR79" s="51">
        <v>136.6</v>
      </c>
      <c r="CS79" s="51">
        <v>136.6</v>
      </c>
      <c r="CT79" s="51">
        <v>135.19999999999999</v>
      </c>
      <c r="CU79" s="51">
        <v>136.30000000000001</v>
      </c>
      <c r="CV79" s="51">
        <v>136.1</v>
      </c>
      <c r="CW79" s="51">
        <v>136.4</v>
      </c>
      <c r="CX79" s="51">
        <v>136.69999999999999</v>
      </c>
      <c r="CY79" s="51">
        <v>137.30000000000001</v>
      </c>
      <c r="CZ79" s="51">
        <v>138.19999999999999</v>
      </c>
      <c r="DA79" s="51">
        <v>138.69999999999999</v>
      </c>
      <c r="DB79" s="51">
        <v>139.30000000000001</v>
      </c>
      <c r="DC79" s="51">
        <v>140.19999999999999</v>
      </c>
      <c r="DD79" s="51">
        <v>140.5</v>
      </c>
      <c r="DE79" s="51">
        <v>141.9</v>
      </c>
      <c r="DF79" s="51">
        <v>143.6</v>
      </c>
      <c r="DG79" s="51">
        <v>143.6</v>
      </c>
      <c r="DH79" s="51">
        <v>144.4</v>
      </c>
      <c r="DI79" s="51">
        <v>145.30000000000001</v>
      </c>
      <c r="DJ79" s="51">
        <v>146.69999999999999</v>
      </c>
      <c r="DK79" s="51">
        <v>148.5</v>
      </c>
      <c r="DL79" s="51">
        <v>150.4</v>
      </c>
      <c r="DM79" s="51">
        <v>152.6</v>
      </c>
      <c r="DN79" s="51">
        <v>154.5</v>
      </c>
      <c r="DO79" s="51">
        <v>155.9</v>
      </c>
      <c r="DP79" s="51">
        <v>157.4</v>
      </c>
      <c r="DQ79" s="51">
        <v>158.69999999999999</v>
      </c>
      <c r="DR79" s="51">
        <v>160</v>
      </c>
      <c r="DS79" s="51">
        <v>161.69999999999999</v>
      </c>
      <c r="DT79" s="51">
        <v>162.6</v>
      </c>
      <c r="DU79" s="51">
        <v>163.5</v>
      </c>
      <c r="DV79" s="51">
        <v>164.5</v>
      </c>
      <c r="DW79" s="51">
        <v>165.3</v>
      </c>
      <c r="DX79" s="51">
        <v>167</v>
      </c>
      <c r="DY79" s="51">
        <v>167</v>
      </c>
      <c r="DZ79" s="51">
        <v>167.7</v>
      </c>
      <c r="EA79" s="51">
        <v>168.1</v>
      </c>
    </row>
    <row r="80" spans="4:131" x14ac:dyDescent="0.35">
      <c r="D80" s="50" t="s">
        <v>19</v>
      </c>
      <c r="E80" s="51" t="s">
        <v>61</v>
      </c>
      <c r="F80" s="51" t="s">
        <v>33</v>
      </c>
      <c r="G80" s="51">
        <v>105.8</v>
      </c>
      <c r="H80" s="51">
        <v>106.4</v>
      </c>
      <c r="I80" s="51">
        <v>107</v>
      </c>
      <c r="J80" s="51">
        <v>107.7</v>
      </c>
      <c r="K80" s="51">
        <v>108.3</v>
      </c>
      <c r="L80" s="51">
        <v>108.9</v>
      </c>
      <c r="M80" s="51">
        <v>109.5</v>
      </c>
      <c r="N80" s="51">
        <v>110.2</v>
      </c>
      <c r="O80" s="51">
        <v>111.1</v>
      </c>
      <c r="P80" s="51">
        <v>112</v>
      </c>
      <c r="Q80" s="51">
        <v>113</v>
      </c>
      <c r="R80" s="51">
        <v>113.7</v>
      </c>
      <c r="S80" s="51">
        <v>114.3</v>
      </c>
      <c r="T80" s="51">
        <v>114.7</v>
      </c>
      <c r="U80" s="51">
        <v>115.2</v>
      </c>
      <c r="V80" s="51">
        <v>115.7</v>
      </c>
      <c r="W80" s="51">
        <v>116.2</v>
      </c>
      <c r="X80" s="51">
        <v>116.7</v>
      </c>
      <c r="Y80" s="51">
        <v>117.4</v>
      </c>
      <c r="Z80" s="51">
        <v>117.9</v>
      </c>
      <c r="AA80" s="51">
        <v>118.4</v>
      </c>
      <c r="AB80" s="51">
        <v>118.9</v>
      </c>
      <c r="AC80" s="51">
        <v>119.5</v>
      </c>
      <c r="AD80" s="51">
        <v>120</v>
      </c>
      <c r="AE80" s="51">
        <v>120.2</v>
      </c>
      <c r="AF80" s="51">
        <v>120.6</v>
      </c>
      <c r="AG80" s="51">
        <v>120.9</v>
      </c>
      <c r="AH80" s="51">
        <v>121.3</v>
      </c>
      <c r="AI80" s="51">
        <v>121.6</v>
      </c>
      <c r="AJ80" s="51">
        <v>122.3</v>
      </c>
      <c r="AK80" s="51">
        <v>122.7</v>
      </c>
      <c r="AL80" s="51">
        <v>122.9</v>
      </c>
      <c r="AM80" s="51">
        <v>123.2</v>
      </c>
      <c r="AN80" s="51">
        <v>123.6</v>
      </c>
      <c r="AO80" s="51">
        <v>124.2</v>
      </c>
      <c r="AP80" s="51">
        <v>124.5</v>
      </c>
      <c r="AQ80" s="51">
        <v>124.9</v>
      </c>
      <c r="AR80" s="51">
        <v>125.3</v>
      </c>
      <c r="AS80" s="51">
        <v>125.5</v>
      </c>
      <c r="AT80" s="51">
        <v>125.8</v>
      </c>
      <c r="AU80" s="51">
        <v>126.2</v>
      </c>
      <c r="AV80" s="51">
        <v>126.6</v>
      </c>
      <c r="AW80" s="51">
        <v>126.9</v>
      </c>
      <c r="AX80" s="51">
        <v>127.3</v>
      </c>
      <c r="AY80" s="51">
        <v>127.7</v>
      </c>
      <c r="AZ80" s="51">
        <v>128</v>
      </c>
      <c r="BA80" s="51">
        <v>128.5</v>
      </c>
      <c r="BB80" s="51">
        <v>128.80000000000001</v>
      </c>
      <c r="BC80" s="51">
        <v>129</v>
      </c>
      <c r="BD80" s="51">
        <v>129.30000000000001</v>
      </c>
      <c r="BE80" s="51">
        <v>129.6</v>
      </c>
      <c r="BF80" s="51">
        <v>130</v>
      </c>
      <c r="BG80" s="51">
        <v>130.19999999999999</v>
      </c>
      <c r="BH80" s="51">
        <v>130.19999999999999</v>
      </c>
      <c r="BI80" s="51">
        <v>130.4</v>
      </c>
      <c r="BJ80" s="51">
        <v>131.4</v>
      </c>
      <c r="BK80" s="51">
        <v>132</v>
      </c>
      <c r="BL80" s="51">
        <v>132.6</v>
      </c>
      <c r="BM80" s="51">
        <v>133.5</v>
      </c>
      <c r="BN80" s="51">
        <v>134</v>
      </c>
      <c r="BO80" s="51">
        <v>134.4</v>
      </c>
      <c r="BP80" s="51">
        <v>134.69999999999999</v>
      </c>
      <c r="BQ80" s="51">
        <v>135.19999999999999</v>
      </c>
      <c r="BR80" s="51">
        <v>136.19999999999999</v>
      </c>
      <c r="BS80" s="51">
        <v>137</v>
      </c>
      <c r="BT80" s="51">
        <v>137.4</v>
      </c>
      <c r="BU80" s="51">
        <v>137.9</v>
      </c>
      <c r="BV80" s="51">
        <v>138.30000000000001</v>
      </c>
      <c r="BW80" s="51">
        <v>139.1</v>
      </c>
      <c r="BX80" s="51">
        <v>139.69999999999999</v>
      </c>
      <c r="BY80" s="51">
        <v>140.5</v>
      </c>
      <c r="BZ80" s="51">
        <v>140.80000000000001</v>
      </c>
      <c r="CA80" s="51">
        <v>141.1</v>
      </c>
      <c r="CB80" s="51">
        <v>141.4</v>
      </c>
      <c r="CC80" s="51">
        <v>141.6</v>
      </c>
      <c r="CD80" s="51">
        <v>141.89999999999998</v>
      </c>
      <c r="CE80" s="51">
        <v>142.19999999999999</v>
      </c>
      <c r="CF80" s="51">
        <v>142.4</v>
      </c>
      <c r="CG80" s="51">
        <v>142.69999999999999</v>
      </c>
      <c r="CH80" s="51">
        <v>143</v>
      </c>
      <c r="CI80" s="51">
        <v>143.30000000000001</v>
      </c>
      <c r="CJ80" s="51">
        <v>143.9</v>
      </c>
      <c r="CK80" s="51">
        <v>144.19999999999999</v>
      </c>
      <c r="CL80" s="51">
        <v>144.6</v>
      </c>
      <c r="CM80" s="51">
        <v>144.9</v>
      </c>
      <c r="CN80" s="51">
        <v>145.19999999999999</v>
      </c>
      <c r="CO80" s="51">
        <v>145.6</v>
      </c>
      <c r="CP80" s="51">
        <v>146.13333333333333</v>
      </c>
      <c r="CQ80" s="51">
        <v>146.66666666666666</v>
      </c>
      <c r="CR80" s="51">
        <v>147.19999999999999</v>
      </c>
      <c r="CS80" s="51">
        <v>147.19999999999999</v>
      </c>
      <c r="CT80" s="51">
        <v>147.80000000000001</v>
      </c>
      <c r="CU80" s="51">
        <v>148.1</v>
      </c>
      <c r="CV80" s="51">
        <v>148.30000000000001</v>
      </c>
      <c r="CW80" s="51">
        <v>148.80000000000001</v>
      </c>
      <c r="CX80" s="51">
        <v>149.6</v>
      </c>
      <c r="CY80" s="51">
        <v>150.19999999999999</v>
      </c>
      <c r="CZ80" s="51">
        <v>151.80000000000001</v>
      </c>
      <c r="DA80" s="51">
        <v>152.6</v>
      </c>
      <c r="DB80" s="51">
        <v>153.4</v>
      </c>
      <c r="DC80" s="51">
        <v>154.1</v>
      </c>
      <c r="DD80" s="51">
        <v>154.80000000000001</v>
      </c>
      <c r="DE80" s="51">
        <v>155.5</v>
      </c>
      <c r="DF80" s="51">
        <v>157.30000000000001</v>
      </c>
      <c r="DG80" s="51">
        <v>157.4</v>
      </c>
      <c r="DH80" s="51">
        <v>158.30000000000001</v>
      </c>
      <c r="DI80" s="51">
        <v>159.69999999999999</v>
      </c>
      <c r="DJ80" s="51">
        <v>160.69999999999999</v>
      </c>
      <c r="DK80" s="51">
        <v>162.19999999999999</v>
      </c>
      <c r="DL80" s="51">
        <v>163.4</v>
      </c>
      <c r="DM80" s="51">
        <v>164.9</v>
      </c>
      <c r="DN80" s="51">
        <v>166.3</v>
      </c>
      <c r="DO80" s="51">
        <v>167.8</v>
      </c>
      <c r="DP80" s="51">
        <v>169.4</v>
      </c>
      <c r="DQ80" s="51">
        <v>170.6</v>
      </c>
      <c r="DR80" s="51">
        <v>171.6</v>
      </c>
      <c r="DS80" s="51">
        <v>173</v>
      </c>
      <c r="DT80" s="51">
        <v>173.6</v>
      </c>
      <c r="DU80" s="51">
        <v>174.7</v>
      </c>
      <c r="DV80" s="51">
        <v>175.7</v>
      </c>
      <c r="DW80" s="51">
        <v>176.6</v>
      </c>
      <c r="DX80" s="51">
        <v>178.2</v>
      </c>
      <c r="DY80" s="51">
        <v>178.2</v>
      </c>
      <c r="DZ80" s="51">
        <v>178.9</v>
      </c>
      <c r="EA80" s="51">
        <v>179.3</v>
      </c>
    </row>
    <row r="81" spans="4:131" x14ac:dyDescent="0.35">
      <c r="D81" s="50" t="s">
        <v>20</v>
      </c>
      <c r="E81" s="51" t="s">
        <v>63</v>
      </c>
      <c r="F81" s="51" t="s">
        <v>33</v>
      </c>
      <c r="G81" s="51">
        <v>100.3</v>
      </c>
      <c r="H81" s="51">
        <v>100.4</v>
      </c>
      <c r="I81" s="51">
        <v>100.4</v>
      </c>
      <c r="J81" s="51">
        <v>100.5</v>
      </c>
      <c r="K81" s="51">
        <v>100.5</v>
      </c>
      <c r="L81" s="51">
        <v>106.6</v>
      </c>
      <c r="M81" s="51">
        <v>107.7</v>
      </c>
      <c r="N81" s="51">
        <v>108.9</v>
      </c>
      <c r="O81" s="51">
        <v>109.7</v>
      </c>
      <c r="P81" s="51">
        <v>110.5</v>
      </c>
      <c r="Q81" s="51">
        <v>111.1</v>
      </c>
      <c r="R81" s="51">
        <v>110.7</v>
      </c>
      <c r="S81" s="51">
        <v>111.6</v>
      </c>
      <c r="T81" s="51">
        <v>112.5</v>
      </c>
      <c r="U81" s="51">
        <v>113.2</v>
      </c>
      <c r="V81" s="51">
        <v>113.9</v>
      </c>
      <c r="W81" s="51">
        <v>114.3</v>
      </c>
      <c r="X81" s="51">
        <v>113.9</v>
      </c>
      <c r="Y81" s="51">
        <v>114.8</v>
      </c>
      <c r="Z81" s="51">
        <v>115.5</v>
      </c>
      <c r="AA81" s="51">
        <v>116.1</v>
      </c>
      <c r="AB81" s="51">
        <v>116.7</v>
      </c>
      <c r="AC81" s="51">
        <v>117.1</v>
      </c>
      <c r="AD81" s="51">
        <v>116.5</v>
      </c>
      <c r="AE81" s="51">
        <v>117.3</v>
      </c>
      <c r="AF81" s="51">
        <v>118.1</v>
      </c>
      <c r="AG81" s="51">
        <v>118.6</v>
      </c>
      <c r="AH81" s="51">
        <v>119.2</v>
      </c>
      <c r="AI81" s="51">
        <v>119.6</v>
      </c>
      <c r="AJ81" s="51">
        <v>119</v>
      </c>
      <c r="AK81" s="51">
        <v>119.9</v>
      </c>
      <c r="AL81" s="51">
        <v>120.9</v>
      </c>
      <c r="AM81" s="51">
        <v>121.6</v>
      </c>
      <c r="AN81" s="51">
        <v>122.4</v>
      </c>
      <c r="AO81" s="51">
        <v>122.9</v>
      </c>
      <c r="AP81" s="51">
        <v>122.4</v>
      </c>
      <c r="AQ81" s="51">
        <v>123.4</v>
      </c>
      <c r="AR81" s="51">
        <v>124.4</v>
      </c>
      <c r="AS81" s="51">
        <v>124.9</v>
      </c>
      <c r="AT81" s="51">
        <v>125.6</v>
      </c>
      <c r="AU81" s="51">
        <v>126</v>
      </c>
      <c r="AV81" s="51">
        <v>125.5</v>
      </c>
      <c r="AW81" s="51">
        <v>126.4</v>
      </c>
      <c r="AX81" s="51">
        <v>127.3</v>
      </c>
      <c r="AY81" s="51">
        <v>127.9</v>
      </c>
      <c r="AZ81" s="51">
        <v>128.69999999999999</v>
      </c>
      <c r="BA81" s="51">
        <v>129.1</v>
      </c>
      <c r="BB81" s="51">
        <v>128.5</v>
      </c>
      <c r="BC81" s="51">
        <v>129.6</v>
      </c>
      <c r="BD81" s="51">
        <v>130.5</v>
      </c>
      <c r="BE81" s="51">
        <v>131.1</v>
      </c>
      <c r="BF81" s="51">
        <v>131.69999999999999</v>
      </c>
      <c r="BG81" s="51">
        <v>132.1</v>
      </c>
      <c r="BH81" s="51">
        <v>131.4</v>
      </c>
      <c r="BI81" s="51">
        <v>132.6</v>
      </c>
      <c r="BJ81" s="51">
        <v>134.4</v>
      </c>
      <c r="BK81" s="51">
        <v>135.69999999999999</v>
      </c>
      <c r="BL81" s="51">
        <v>137.30000000000001</v>
      </c>
      <c r="BM81" s="51">
        <v>138.6</v>
      </c>
      <c r="BN81" s="51">
        <v>139.1</v>
      </c>
      <c r="BO81" s="51">
        <v>140.4</v>
      </c>
      <c r="BP81" s="51">
        <v>141.30000000000001</v>
      </c>
      <c r="BQ81" s="51">
        <v>142</v>
      </c>
      <c r="BR81" s="51">
        <v>142.9</v>
      </c>
      <c r="BS81" s="51">
        <v>143.19999999999999</v>
      </c>
      <c r="BT81" s="51">
        <v>142.5</v>
      </c>
      <c r="BU81" s="51">
        <v>143.6</v>
      </c>
      <c r="BV81" s="51">
        <v>144.6</v>
      </c>
      <c r="BW81" s="51">
        <v>145.30000000000001</v>
      </c>
      <c r="BX81" s="51">
        <v>146.30000000000001</v>
      </c>
      <c r="BY81" s="51">
        <v>146.9</v>
      </c>
      <c r="BZ81" s="51">
        <v>146.5</v>
      </c>
      <c r="CA81" s="51">
        <v>147.69999999999999</v>
      </c>
      <c r="CB81" s="51">
        <v>148.5</v>
      </c>
      <c r="CC81" s="51">
        <v>149</v>
      </c>
      <c r="CD81" s="51">
        <v>149.55000000000001</v>
      </c>
      <c r="CE81" s="51">
        <v>150.1</v>
      </c>
      <c r="CF81" s="51">
        <v>149.4</v>
      </c>
      <c r="CG81" s="51">
        <v>150.6</v>
      </c>
      <c r="CH81" s="51">
        <v>151.6</v>
      </c>
      <c r="CI81" s="51">
        <v>152.19999999999999</v>
      </c>
      <c r="CJ81" s="51">
        <v>153</v>
      </c>
      <c r="CK81" s="51">
        <v>153.5</v>
      </c>
      <c r="CL81" s="51">
        <v>152.80000000000001</v>
      </c>
      <c r="CM81" s="51">
        <v>153.9</v>
      </c>
      <c r="CN81" s="51">
        <v>154.80000000000001</v>
      </c>
      <c r="CO81" s="51">
        <v>154.5</v>
      </c>
      <c r="CP81" s="51">
        <v>155.6</v>
      </c>
      <c r="CQ81" s="51">
        <v>155.14999999999998</v>
      </c>
      <c r="CR81" s="51">
        <v>154.69999999999999</v>
      </c>
      <c r="CS81" s="51">
        <v>154.69999999999999</v>
      </c>
      <c r="CT81" s="51">
        <v>155.5</v>
      </c>
      <c r="CU81" s="51">
        <v>156.30000000000001</v>
      </c>
      <c r="CV81" s="51">
        <v>156.5</v>
      </c>
      <c r="CW81" s="51">
        <v>158</v>
      </c>
      <c r="CX81" s="51">
        <v>158.4</v>
      </c>
      <c r="CY81" s="51">
        <v>157.69999999999999</v>
      </c>
      <c r="CZ81" s="51">
        <v>159.80000000000001</v>
      </c>
      <c r="DA81" s="51">
        <v>159.9</v>
      </c>
      <c r="DB81" s="51">
        <v>161.4</v>
      </c>
      <c r="DC81" s="51">
        <v>161.6</v>
      </c>
      <c r="DD81" s="51">
        <v>160.5</v>
      </c>
      <c r="DE81" s="51">
        <v>161.5</v>
      </c>
      <c r="DF81" s="51">
        <v>162.1</v>
      </c>
      <c r="DG81" s="51">
        <v>162.1</v>
      </c>
      <c r="DH81" s="51">
        <v>163.6</v>
      </c>
      <c r="DI81" s="51">
        <v>164.2</v>
      </c>
      <c r="DJ81" s="51">
        <v>163.4</v>
      </c>
      <c r="DK81" s="51">
        <v>164.5</v>
      </c>
      <c r="DL81" s="51">
        <v>165.5</v>
      </c>
      <c r="DM81" s="51">
        <v>165.3</v>
      </c>
      <c r="DN81" s="51">
        <v>167</v>
      </c>
      <c r="DO81" s="51">
        <v>167.5</v>
      </c>
      <c r="DP81" s="51">
        <v>166.8</v>
      </c>
      <c r="DQ81" s="51">
        <v>167.8</v>
      </c>
      <c r="DR81" s="51">
        <v>169</v>
      </c>
      <c r="DS81" s="51">
        <v>169.5</v>
      </c>
      <c r="DT81" s="51">
        <v>171.2</v>
      </c>
      <c r="DU81" s="51">
        <v>171.8</v>
      </c>
      <c r="DV81" s="51">
        <v>170.7</v>
      </c>
      <c r="DW81" s="51">
        <v>172.1</v>
      </c>
      <c r="DX81" s="51">
        <v>173.5</v>
      </c>
      <c r="DY81" s="51">
        <v>173.5</v>
      </c>
      <c r="DZ81" s="51">
        <v>175.2</v>
      </c>
      <c r="EA81" s="51">
        <v>175.6</v>
      </c>
    </row>
    <row r="82" spans="4:131" x14ac:dyDescent="0.35">
      <c r="D82" s="50" t="s">
        <v>21</v>
      </c>
      <c r="E82" s="54" t="s">
        <v>62</v>
      </c>
      <c r="F82" s="51" t="s">
        <v>33</v>
      </c>
      <c r="G82" s="51">
        <v>105.4</v>
      </c>
      <c r="H82" s="51">
        <v>105.7</v>
      </c>
      <c r="I82" s="51">
        <v>106</v>
      </c>
      <c r="J82" s="51">
        <v>106.4</v>
      </c>
      <c r="K82" s="51">
        <v>107.2</v>
      </c>
      <c r="L82" s="51">
        <v>108</v>
      </c>
      <c r="M82" s="51">
        <v>108.6</v>
      </c>
      <c r="N82" s="51">
        <v>109.3</v>
      </c>
      <c r="O82" s="51">
        <v>109.5</v>
      </c>
      <c r="P82" s="51">
        <v>109.7</v>
      </c>
      <c r="Q82" s="51">
        <v>110</v>
      </c>
      <c r="R82" s="51">
        <v>110.4</v>
      </c>
      <c r="S82" s="51">
        <v>111</v>
      </c>
      <c r="T82" s="51">
        <v>111.1</v>
      </c>
      <c r="U82" s="51">
        <v>110.9</v>
      </c>
      <c r="V82" s="51">
        <v>110.9</v>
      </c>
      <c r="W82" s="51">
        <v>111.1</v>
      </c>
      <c r="X82" s="51">
        <v>111.2</v>
      </c>
      <c r="Y82" s="51">
        <v>111.6</v>
      </c>
      <c r="Z82" s="51">
        <v>111.8</v>
      </c>
      <c r="AA82" s="51">
        <v>111.8</v>
      </c>
      <c r="AB82" s="51">
        <v>112</v>
      </c>
      <c r="AC82" s="51">
        <v>112.6</v>
      </c>
      <c r="AD82" s="51">
        <v>113</v>
      </c>
      <c r="AE82" s="51">
        <v>113.4</v>
      </c>
      <c r="AF82" s="51">
        <v>114</v>
      </c>
      <c r="AG82" s="51">
        <v>114.4</v>
      </c>
      <c r="AH82" s="51">
        <v>114.7</v>
      </c>
      <c r="AI82" s="51">
        <v>114.9</v>
      </c>
      <c r="AJ82" s="51">
        <v>115.1</v>
      </c>
      <c r="AK82" s="51">
        <v>115.3</v>
      </c>
      <c r="AL82" s="51">
        <v>115.3</v>
      </c>
      <c r="AM82" s="51">
        <v>115.1</v>
      </c>
      <c r="AN82" s="51">
        <v>114.9</v>
      </c>
      <c r="AO82" s="51">
        <v>115.1</v>
      </c>
      <c r="AP82" s="51">
        <v>116</v>
      </c>
      <c r="AQ82" s="51">
        <v>116.9</v>
      </c>
      <c r="AR82" s="51">
        <v>116</v>
      </c>
      <c r="AS82" s="51">
        <v>114.8</v>
      </c>
      <c r="AT82" s="51">
        <v>114.6</v>
      </c>
      <c r="AU82" s="51">
        <v>115</v>
      </c>
      <c r="AV82" s="51">
        <v>115.5</v>
      </c>
      <c r="AW82" s="51">
        <v>115.5</v>
      </c>
      <c r="AX82" s="51">
        <v>114.7</v>
      </c>
      <c r="AY82" s="51">
        <v>114.8</v>
      </c>
      <c r="AZ82" s="51">
        <v>115.2</v>
      </c>
      <c r="BA82" s="51">
        <v>116.2</v>
      </c>
      <c r="BB82" s="51">
        <v>117.8</v>
      </c>
      <c r="BC82" s="51">
        <v>118</v>
      </c>
      <c r="BD82" s="51">
        <v>119.2</v>
      </c>
      <c r="BE82" s="51">
        <v>120.8</v>
      </c>
      <c r="BF82" s="51">
        <v>121.4</v>
      </c>
      <c r="BG82" s="51">
        <v>120.1</v>
      </c>
      <c r="BH82" s="51">
        <v>119</v>
      </c>
      <c r="BI82" s="51">
        <v>119.7</v>
      </c>
      <c r="BJ82" s="51">
        <v>118.9</v>
      </c>
      <c r="BK82" s="51">
        <v>120.6</v>
      </c>
      <c r="BL82" s="51">
        <v>122.6</v>
      </c>
      <c r="BM82" s="51">
        <v>125.7</v>
      </c>
      <c r="BN82" s="51">
        <v>126.8</v>
      </c>
      <c r="BO82" s="51">
        <v>127.3</v>
      </c>
      <c r="BP82" s="51">
        <v>127.3</v>
      </c>
      <c r="BQ82" s="51">
        <v>126.4</v>
      </c>
      <c r="BR82" s="51">
        <v>124.6</v>
      </c>
      <c r="BS82" s="51">
        <v>124.7</v>
      </c>
      <c r="BT82" s="51">
        <v>126.5</v>
      </c>
      <c r="BU82" s="51">
        <v>128.1</v>
      </c>
      <c r="BV82" s="51">
        <v>129.80000000000001</v>
      </c>
      <c r="BW82" s="51">
        <v>131.19999999999999</v>
      </c>
      <c r="BX82" s="51">
        <v>133.4</v>
      </c>
      <c r="BY82" s="51">
        <v>136.69999999999999</v>
      </c>
      <c r="BZ82" s="51">
        <v>132.4</v>
      </c>
      <c r="CA82" s="51">
        <v>128.6</v>
      </c>
      <c r="CB82" s="51">
        <v>127.1</v>
      </c>
      <c r="CC82" s="51">
        <v>128.80000000000001</v>
      </c>
      <c r="CD82" s="51">
        <v>129.10000000000002</v>
      </c>
      <c r="CE82" s="51">
        <v>129.4</v>
      </c>
      <c r="CF82" s="51">
        <v>130.5</v>
      </c>
      <c r="CG82" s="51">
        <v>127</v>
      </c>
      <c r="CH82" s="51">
        <v>125.5</v>
      </c>
      <c r="CI82" s="51">
        <v>126.6</v>
      </c>
      <c r="CJ82" s="51">
        <v>128.9</v>
      </c>
      <c r="CK82" s="51">
        <v>132.19999999999999</v>
      </c>
      <c r="CL82" s="51">
        <v>133.6</v>
      </c>
      <c r="CM82" s="51">
        <v>135.1</v>
      </c>
      <c r="CN82" s="51">
        <v>138.9</v>
      </c>
      <c r="CO82" s="51">
        <v>141.4</v>
      </c>
      <c r="CP82" s="51">
        <v>137.1</v>
      </c>
      <c r="CQ82" s="51">
        <v>137.1</v>
      </c>
      <c r="CR82" s="51">
        <v>137.1</v>
      </c>
      <c r="CS82" s="51">
        <v>137.1</v>
      </c>
      <c r="CT82" s="51">
        <v>138.30000000000001</v>
      </c>
      <c r="CU82" s="51">
        <v>137.19999999999999</v>
      </c>
      <c r="CV82" s="51">
        <v>137.1</v>
      </c>
      <c r="CW82" s="51">
        <v>137.30000000000001</v>
      </c>
      <c r="CX82" s="51">
        <v>137.9</v>
      </c>
      <c r="CY82" s="51">
        <v>142.9</v>
      </c>
      <c r="CZ82" s="51">
        <v>149.1</v>
      </c>
      <c r="DA82" s="51">
        <v>154.80000000000001</v>
      </c>
      <c r="DB82" s="51">
        <v>154.9</v>
      </c>
      <c r="DC82" s="51">
        <v>155.5</v>
      </c>
      <c r="DD82" s="51">
        <v>156.1</v>
      </c>
      <c r="DE82" s="51">
        <v>157.69999999999999</v>
      </c>
      <c r="DF82" s="51">
        <v>160.69999999999999</v>
      </c>
      <c r="DG82" s="51">
        <v>160.80000000000001</v>
      </c>
      <c r="DH82" s="51">
        <v>162.19999999999999</v>
      </c>
      <c r="DI82" s="51">
        <v>161.6</v>
      </c>
      <c r="DJ82" s="51">
        <v>161.69999999999999</v>
      </c>
      <c r="DK82" s="51">
        <v>161.6</v>
      </c>
      <c r="DL82" s="51">
        <v>163</v>
      </c>
      <c r="DM82" s="51">
        <v>164.5</v>
      </c>
      <c r="DN82" s="51">
        <v>170.5</v>
      </c>
      <c r="DO82" s="51">
        <v>173.5</v>
      </c>
      <c r="DP82" s="51">
        <v>174.9</v>
      </c>
      <c r="DQ82" s="51">
        <v>179.5</v>
      </c>
      <c r="DR82" s="51">
        <v>178.4</v>
      </c>
      <c r="DS82" s="51">
        <v>179.2</v>
      </c>
      <c r="DT82" s="51">
        <v>180</v>
      </c>
      <c r="DU82" s="51">
        <v>180.3</v>
      </c>
      <c r="DV82" s="51">
        <v>180.6</v>
      </c>
      <c r="DW82" s="51">
        <v>180.1</v>
      </c>
      <c r="DX82" s="51">
        <v>182.8</v>
      </c>
      <c r="DY82" s="51">
        <v>182.6</v>
      </c>
      <c r="DZ82" s="51">
        <v>182.1</v>
      </c>
      <c r="EA82" s="51">
        <v>183.4</v>
      </c>
    </row>
    <row r="83" spans="4:131" x14ac:dyDescent="0.35">
      <c r="D83" s="50" t="s">
        <v>22</v>
      </c>
      <c r="E83" s="54" t="s">
        <v>62</v>
      </c>
      <c r="F83" s="51" t="s">
        <v>33</v>
      </c>
      <c r="G83" s="51">
        <v>104.8</v>
      </c>
      <c r="H83" s="51">
        <v>105.2</v>
      </c>
      <c r="I83" s="51">
        <v>105.7</v>
      </c>
      <c r="J83" s="51">
        <v>106.5</v>
      </c>
      <c r="K83" s="51">
        <v>107.1</v>
      </c>
      <c r="L83" s="51">
        <v>107.7</v>
      </c>
      <c r="M83" s="51">
        <v>108.1</v>
      </c>
      <c r="N83" s="51">
        <v>108.7</v>
      </c>
      <c r="O83" s="51">
        <v>109.6</v>
      </c>
      <c r="P83" s="51">
        <v>110.2</v>
      </c>
      <c r="Q83" s="51">
        <v>110.9</v>
      </c>
      <c r="R83" s="51">
        <v>111.3</v>
      </c>
      <c r="S83" s="51">
        <v>111.9</v>
      </c>
      <c r="T83" s="51">
        <v>112.6</v>
      </c>
      <c r="U83" s="51">
        <v>113</v>
      </c>
      <c r="V83" s="51">
        <v>113.4</v>
      </c>
      <c r="W83" s="51">
        <v>114.1</v>
      </c>
      <c r="X83" s="51">
        <v>114.3</v>
      </c>
      <c r="Y83" s="51">
        <v>114.9</v>
      </c>
      <c r="Z83" s="51">
        <v>115.3</v>
      </c>
      <c r="AA83" s="51">
        <v>115.5</v>
      </c>
      <c r="AB83" s="51">
        <v>115.8</v>
      </c>
      <c r="AC83" s="51">
        <v>116.4</v>
      </c>
      <c r="AD83" s="51">
        <v>116.8</v>
      </c>
      <c r="AE83" s="51">
        <v>117.2</v>
      </c>
      <c r="AF83" s="51">
        <v>117.7</v>
      </c>
      <c r="AG83" s="51">
        <v>118</v>
      </c>
      <c r="AH83" s="51">
        <v>118.4</v>
      </c>
      <c r="AI83" s="51">
        <v>118.7</v>
      </c>
      <c r="AJ83" s="51">
        <v>119.2</v>
      </c>
      <c r="AK83" s="51">
        <v>119.5</v>
      </c>
      <c r="AL83" s="51">
        <v>120</v>
      </c>
      <c r="AM83" s="51">
        <v>120.4</v>
      </c>
      <c r="AN83" s="51">
        <v>120.7</v>
      </c>
      <c r="AO83" s="51">
        <v>121</v>
      </c>
      <c r="AP83" s="51">
        <v>121</v>
      </c>
      <c r="AQ83" s="51">
        <v>121.6</v>
      </c>
      <c r="AR83" s="51">
        <v>121.8</v>
      </c>
      <c r="AS83" s="51">
        <v>122.3</v>
      </c>
      <c r="AT83" s="51">
        <v>122.8</v>
      </c>
      <c r="AU83" s="51">
        <v>123.2</v>
      </c>
      <c r="AV83" s="51">
        <v>123.2</v>
      </c>
      <c r="AW83" s="51">
        <v>123.5</v>
      </c>
      <c r="AX83" s="51">
        <v>123.9</v>
      </c>
      <c r="AY83" s="51">
        <v>124.3</v>
      </c>
      <c r="AZ83" s="51">
        <v>124.5</v>
      </c>
      <c r="BA83" s="51">
        <v>124.7</v>
      </c>
      <c r="BB83" s="51">
        <v>125</v>
      </c>
      <c r="BC83" s="51">
        <v>125.1</v>
      </c>
      <c r="BD83" s="51">
        <v>125.3</v>
      </c>
      <c r="BE83" s="51">
        <v>125.6</v>
      </c>
      <c r="BF83" s="51">
        <v>126</v>
      </c>
      <c r="BG83" s="51">
        <v>126.5</v>
      </c>
      <c r="BH83" s="51">
        <v>126.8</v>
      </c>
      <c r="BI83" s="51">
        <v>127.2</v>
      </c>
      <c r="BJ83" s="51">
        <v>127.7</v>
      </c>
      <c r="BK83" s="51">
        <v>128.1</v>
      </c>
      <c r="BL83" s="51">
        <v>128.30000000000001</v>
      </c>
      <c r="BM83" s="51">
        <v>128.80000000000001</v>
      </c>
      <c r="BN83" s="51">
        <v>129.30000000000001</v>
      </c>
      <c r="BO83" s="51">
        <v>129.5</v>
      </c>
      <c r="BP83" s="51">
        <v>129.9</v>
      </c>
      <c r="BQ83" s="51">
        <v>130.80000000000001</v>
      </c>
      <c r="BR83" s="51">
        <v>131.80000000000001</v>
      </c>
      <c r="BS83" s="51">
        <v>132.5</v>
      </c>
      <c r="BT83" s="51">
        <v>133.1</v>
      </c>
      <c r="BU83" s="51">
        <v>133.6</v>
      </c>
      <c r="BV83" s="51">
        <v>134.4</v>
      </c>
      <c r="BW83" s="51">
        <v>134.9</v>
      </c>
      <c r="BX83" s="51">
        <v>135.1</v>
      </c>
      <c r="BY83" s="51">
        <v>135.80000000000001</v>
      </c>
      <c r="BZ83" s="51">
        <v>136.19999999999999</v>
      </c>
      <c r="CA83" s="51">
        <v>136.30000000000001</v>
      </c>
      <c r="CB83" s="51">
        <v>136.6</v>
      </c>
      <c r="CC83" s="51">
        <v>136.80000000000001</v>
      </c>
      <c r="CD83" s="51">
        <v>137</v>
      </c>
      <c r="CE83" s="51">
        <v>137.19999999999999</v>
      </c>
      <c r="CF83" s="51">
        <v>137.4</v>
      </c>
      <c r="CG83" s="51">
        <v>137.69999999999999</v>
      </c>
      <c r="CH83" s="51">
        <v>138.1</v>
      </c>
      <c r="CI83" s="51">
        <v>138.30000000000001</v>
      </c>
      <c r="CJ83" s="51">
        <v>138.69999999999999</v>
      </c>
      <c r="CK83" s="51">
        <v>139.1</v>
      </c>
      <c r="CL83" s="51">
        <v>139.80000000000001</v>
      </c>
      <c r="CM83" s="51">
        <v>140.1</v>
      </c>
      <c r="CN83" s="51">
        <v>140.4</v>
      </c>
      <c r="CO83" s="51">
        <v>140.80000000000001</v>
      </c>
      <c r="CP83" s="51">
        <v>140.66666666666669</v>
      </c>
      <c r="CQ83" s="51">
        <v>140.53333333333333</v>
      </c>
      <c r="CR83" s="51">
        <v>140.4</v>
      </c>
      <c r="CS83" s="51">
        <v>140.4</v>
      </c>
      <c r="CT83" s="51">
        <v>144.5</v>
      </c>
      <c r="CU83" s="51">
        <v>145.4</v>
      </c>
      <c r="CV83" s="51">
        <v>145.1</v>
      </c>
      <c r="CW83" s="51">
        <v>145.1</v>
      </c>
      <c r="CX83" s="51">
        <v>145.5</v>
      </c>
      <c r="CY83" s="51">
        <v>145.69999999999999</v>
      </c>
      <c r="CZ83" s="51">
        <v>146.5</v>
      </c>
      <c r="DA83" s="51">
        <v>147.19999999999999</v>
      </c>
      <c r="DB83" s="51">
        <v>147.6</v>
      </c>
      <c r="DC83" s="51">
        <v>150.1</v>
      </c>
      <c r="DD83" s="51">
        <v>149.80000000000001</v>
      </c>
      <c r="DE83" s="51">
        <v>150.69999999999999</v>
      </c>
      <c r="DF83" s="51">
        <v>153.19999999999999</v>
      </c>
      <c r="DG83" s="51">
        <v>153.30000000000001</v>
      </c>
      <c r="DH83" s="51">
        <v>154.30000000000001</v>
      </c>
      <c r="DI83" s="51">
        <v>155.19999999999999</v>
      </c>
      <c r="DJ83" s="51">
        <v>156</v>
      </c>
      <c r="DK83" s="51">
        <v>156.80000000000001</v>
      </c>
      <c r="DL83" s="51">
        <v>157.4</v>
      </c>
      <c r="DM83" s="51">
        <v>158.6</v>
      </c>
      <c r="DN83" s="51">
        <v>159.80000000000001</v>
      </c>
      <c r="DO83" s="51">
        <v>161.1</v>
      </c>
      <c r="DP83" s="51">
        <v>162.1</v>
      </c>
      <c r="DQ83" s="51">
        <v>163.1</v>
      </c>
      <c r="DR83" s="51">
        <v>164.2</v>
      </c>
      <c r="DS83" s="51">
        <v>165</v>
      </c>
      <c r="DT83" s="51">
        <v>166</v>
      </c>
      <c r="DU83" s="51">
        <v>166.9</v>
      </c>
      <c r="DV83" s="51">
        <v>167.3</v>
      </c>
      <c r="DW83" s="51">
        <v>168</v>
      </c>
      <c r="DX83" s="51">
        <v>169.2</v>
      </c>
      <c r="DY83" s="51">
        <v>169.2</v>
      </c>
      <c r="DZ83" s="51">
        <v>169.6</v>
      </c>
      <c r="EA83" s="51">
        <v>170.1</v>
      </c>
    </row>
    <row r="84" spans="4:131" x14ac:dyDescent="0.35">
      <c r="D84" s="50" t="s">
        <v>23</v>
      </c>
      <c r="E84" s="51" t="s">
        <v>23</v>
      </c>
      <c r="F84" s="51" t="s">
        <v>33</v>
      </c>
      <c r="G84" s="51">
        <v>104.1</v>
      </c>
      <c r="H84" s="51">
        <v>104.7</v>
      </c>
      <c r="I84" s="51">
        <v>105.2</v>
      </c>
      <c r="J84" s="51">
        <v>105.7</v>
      </c>
      <c r="K84" s="51">
        <v>106.2</v>
      </c>
      <c r="L84" s="51">
        <v>106.5</v>
      </c>
      <c r="M84" s="51">
        <v>107.1</v>
      </c>
      <c r="N84" s="51">
        <v>107.6</v>
      </c>
      <c r="O84" s="51">
        <v>107.9</v>
      </c>
      <c r="P84" s="51">
        <v>108.2</v>
      </c>
      <c r="Q84" s="51">
        <v>108.6</v>
      </c>
      <c r="R84" s="51">
        <v>109</v>
      </c>
      <c r="S84" s="51">
        <v>109.7</v>
      </c>
      <c r="T84" s="51">
        <v>110.4</v>
      </c>
      <c r="U84" s="51">
        <v>110.8</v>
      </c>
      <c r="V84" s="51">
        <v>111</v>
      </c>
      <c r="W84" s="51">
        <v>111.2</v>
      </c>
      <c r="X84" s="51">
        <v>111.4</v>
      </c>
      <c r="Y84" s="51">
        <v>111.5</v>
      </c>
      <c r="Z84" s="51">
        <v>112.2</v>
      </c>
      <c r="AA84" s="51">
        <v>112.3</v>
      </c>
      <c r="AB84" s="51">
        <v>112.6</v>
      </c>
      <c r="AC84" s="51">
        <v>113</v>
      </c>
      <c r="AD84" s="51">
        <v>113.2</v>
      </c>
      <c r="AE84" s="51">
        <v>113.7</v>
      </c>
      <c r="AF84" s="51">
        <v>114.1</v>
      </c>
      <c r="AG84" s="51">
        <v>114.3</v>
      </c>
      <c r="AH84" s="51">
        <v>114.6</v>
      </c>
      <c r="AI84" s="51">
        <v>114.9</v>
      </c>
      <c r="AJ84" s="51">
        <v>115.4</v>
      </c>
      <c r="AK84" s="51">
        <v>116</v>
      </c>
      <c r="AL84" s="51">
        <v>116.6</v>
      </c>
      <c r="AM84" s="51">
        <v>117.1</v>
      </c>
      <c r="AN84" s="51">
        <v>117.7</v>
      </c>
      <c r="AO84" s="51">
        <v>118.1</v>
      </c>
      <c r="AP84" s="51">
        <v>118.6</v>
      </c>
      <c r="AQ84" s="51">
        <v>119.1</v>
      </c>
      <c r="AR84" s="51">
        <v>119.5</v>
      </c>
      <c r="AS84" s="51">
        <v>119.7</v>
      </c>
      <c r="AT84" s="51">
        <v>120</v>
      </c>
      <c r="AU84" s="51">
        <v>120.3</v>
      </c>
      <c r="AV84" s="51">
        <v>120.6</v>
      </c>
      <c r="AW84" s="51">
        <v>120.9</v>
      </c>
      <c r="AX84" s="51">
        <v>121.2</v>
      </c>
      <c r="AY84" s="51">
        <v>121.4</v>
      </c>
      <c r="AZ84" s="51">
        <v>121.8</v>
      </c>
      <c r="BA84" s="51">
        <v>122.1</v>
      </c>
      <c r="BB84" s="51">
        <v>122.3</v>
      </c>
      <c r="BC84" s="51">
        <v>122.6</v>
      </c>
      <c r="BD84" s="51">
        <v>122.9</v>
      </c>
      <c r="BE84" s="51">
        <v>123.1</v>
      </c>
      <c r="BF84" s="51">
        <v>123.4</v>
      </c>
      <c r="BG84" s="51">
        <v>123.6</v>
      </c>
      <c r="BH84" s="51">
        <v>123.8</v>
      </c>
      <c r="BI84" s="51">
        <v>125</v>
      </c>
      <c r="BJ84" s="51">
        <v>125.7</v>
      </c>
      <c r="BK84" s="51">
        <v>126.1</v>
      </c>
      <c r="BL84" s="51">
        <v>126.6</v>
      </c>
      <c r="BM84" s="51">
        <v>127.4</v>
      </c>
      <c r="BN84" s="51">
        <v>128.19999999999999</v>
      </c>
      <c r="BO84" s="51">
        <v>129</v>
      </c>
      <c r="BP84" s="51">
        <v>129.80000000000001</v>
      </c>
      <c r="BQ84" s="51">
        <v>130.5</v>
      </c>
      <c r="BR84" s="51">
        <v>131.30000000000001</v>
      </c>
      <c r="BS84" s="51">
        <v>132</v>
      </c>
      <c r="BT84" s="51">
        <v>132.6</v>
      </c>
      <c r="BU84" s="51">
        <v>133.6</v>
      </c>
      <c r="BV84" s="51">
        <v>134.9</v>
      </c>
      <c r="BW84" s="51">
        <v>135.69999999999999</v>
      </c>
      <c r="BX84" s="51">
        <v>136.19999999999999</v>
      </c>
      <c r="BY84" s="51">
        <v>136.80000000000001</v>
      </c>
      <c r="BZ84" s="51">
        <v>137.30000000000001</v>
      </c>
      <c r="CA84" s="51">
        <v>137.80000000000001</v>
      </c>
      <c r="CB84" s="51">
        <v>138.5</v>
      </c>
      <c r="CC84" s="51">
        <v>139.19999999999999</v>
      </c>
      <c r="CD84" s="51">
        <v>139.5</v>
      </c>
      <c r="CE84" s="51">
        <v>139.80000000000001</v>
      </c>
      <c r="CF84" s="51">
        <v>140.30000000000001</v>
      </c>
      <c r="CG84" s="51">
        <v>140.80000000000001</v>
      </c>
      <c r="CH84" s="51">
        <v>141.5</v>
      </c>
      <c r="CI84" s="51">
        <v>141.9</v>
      </c>
      <c r="CJ84" s="51">
        <v>142.4</v>
      </c>
      <c r="CK84" s="51">
        <v>142.80000000000001</v>
      </c>
      <c r="CL84" s="51">
        <v>143.19999999999999</v>
      </c>
      <c r="CM84" s="51">
        <v>143.80000000000001</v>
      </c>
      <c r="CN84" s="51">
        <v>144.4</v>
      </c>
      <c r="CO84" s="51">
        <v>145</v>
      </c>
      <c r="CP84" s="51">
        <v>144.80000000000001</v>
      </c>
      <c r="CQ84" s="51">
        <v>146.44999999999999</v>
      </c>
      <c r="CR84" s="51">
        <v>148.1</v>
      </c>
      <c r="CS84" s="51">
        <v>148.1</v>
      </c>
      <c r="CT84" s="51">
        <v>148.69999999999999</v>
      </c>
      <c r="CU84" s="51">
        <v>150</v>
      </c>
      <c r="CV84" s="51">
        <v>151</v>
      </c>
      <c r="CW84" s="51">
        <v>152</v>
      </c>
      <c r="CX84" s="51">
        <v>152.9</v>
      </c>
      <c r="CY84" s="51">
        <v>154.1</v>
      </c>
      <c r="CZ84" s="51">
        <v>156.30000000000001</v>
      </c>
      <c r="DA84" s="51">
        <v>156.9</v>
      </c>
      <c r="DB84" s="51">
        <v>157.5</v>
      </c>
      <c r="DC84" s="51">
        <v>160.4</v>
      </c>
      <c r="DD84" s="51">
        <v>160.80000000000001</v>
      </c>
      <c r="DE84" s="51">
        <v>161.5</v>
      </c>
      <c r="DF84" s="51">
        <v>162.80000000000001</v>
      </c>
      <c r="DG84" s="51">
        <v>162.80000000000001</v>
      </c>
      <c r="DH84" s="51">
        <v>163.5</v>
      </c>
      <c r="DI84" s="51">
        <v>164.2</v>
      </c>
      <c r="DJ84" s="51">
        <v>165.1</v>
      </c>
      <c r="DK84" s="51">
        <v>166.1</v>
      </c>
      <c r="DL84" s="51">
        <v>167.2</v>
      </c>
      <c r="DM84" s="51">
        <v>168.2</v>
      </c>
      <c r="DN84" s="51">
        <v>169</v>
      </c>
      <c r="DO84" s="51">
        <v>170.1</v>
      </c>
      <c r="DP84" s="51">
        <v>170.9</v>
      </c>
      <c r="DQ84" s="51">
        <v>171.7</v>
      </c>
      <c r="DR84" s="51">
        <v>172.6</v>
      </c>
      <c r="DS84" s="51">
        <v>173.8</v>
      </c>
      <c r="DT84" s="51">
        <v>174.7</v>
      </c>
      <c r="DU84" s="51">
        <v>175.8</v>
      </c>
      <c r="DV84" s="51">
        <v>177.2</v>
      </c>
      <c r="DW84" s="51">
        <v>178.5</v>
      </c>
      <c r="DX84" s="51">
        <v>180.8</v>
      </c>
      <c r="DY84" s="51">
        <v>180.8</v>
      </c>
      <c r="DZ84" s="51">
        <v>181.5</v>
      </c>
      <c r="EA84" s="51">
        <v>182.2</v>
      </c>
    </row>
    <row r="85" spans="4:131" x14ac:dyDescent="0.35">
      <c r="D85" s="50" t="s">
        <v>24</v>
      </c>
      <c r="E85" s="51" t="s">
        <v>61</v>
      </c>
      <c r="F85" s="51" t="s">
        <v>33</v>
      </c>
      <c r="G85" s="51">
        <v>103.2</v>
      </c>
      <c r="H85" s="51">
        <v>104.4</v>
      </c>
      <c r="I85" s="51">
        <v>105.5</v>
      </c>
      <c r="J85" s="51">
        <v>105</v>
      </c>
      <c r="K85" s="51">
        <v>103.9</v>
      </c>
      <c r="L85" s="51">
        <v>105.2</v>
      </c>
      <c r="M85" s="51">
        <v>107.3</v>
      </c>
      <c r="N85" s="51">
        <v>108.1</v>
      </c>
      <c r="O85" s="51">
        <v>110.4</v>
      </c>
      <c r="P85" s="51">
        <v>109.7</v>
      </c>
      <c r="Q85" s="51">
        <v>109.5</v>
      </c>
      <c r="R85" s="51">
        <v>109.7</v>
      </c>
      <c r="S85" s="51">
        <v>110.8</v>
      </c>
      <c r="T85" s="51">
        <v>111.3</v>
      </c>
      <c r="U85" s="51">
        <v>111.6</v>
      </c>
      <c r="V85" s="51">
        <v>111.2</v>
      </c>
      <c r="W85" s="51">
        <v>111.3</v>
      </c>
      <c r="X85" s="51">
        <v>111.5</v>
      </c>
      <c r="Y85" s="51">
        <v>113</v>
      </c>
      <c r="Z85" s="51">
        <v>112.5</v>
      </c>
      <c r="AA85" s="51">
        <v>111.2</v>
      </c>
      <c r="AB85" s="51">
        <v>111</v>
      </c>
      <c r="AC85" s="51">
        <v>109.7</v>
      </c>
      <c r="AD85" s="51">
        <v>108.8</v>
      </c>
      <c r="AE85" s="51">
        <v>107.9</v>
      </c>
      <c r="AF85" s="51">
        <v>106.8</v>
      </c>
      <c r="AG85" s="51">
        <v>108.4</v>
      </c>
      <c r="AH85" s="51">
        <v>108.4</v>
      </c>
      <c r="AI85" s="51">
        <v>110.8</v>
      </c>
      <c r="AJ85" s="51">
        <v>111.7</v>
      </c>
      <c r="AK85" s="51">
        <v>111.5</v>
      </c>
      <c r="AL85" s="51">
        <v>109.9</v>
      </c>
      <c r="AM85" s="51">
        <v>109.1</v>
      </c>
      <c r="AN85" s="51">
        <v>109.3</v>
      </c>
      <c r="AO85" s="51">
        <v>109.3</v>
      </c>
      <c r="AP85" s="51">
        <v>109.3</v>
      </c>
      <c r="AQ85" s="51">
        <v>108.9</v>
      </c>
      <c r="AR85" s="51">
        <v>109.1</v>
      </c>
      <c r="AS85" s="51">
        <v>108.5</v>
      </c>
      <c r="AT85" s="51">
        <v>110</v>
      </c>
      <c r="AU85" s="51">
        <v>110.7</v>
      </c>
      <c r="AV85" s="51">
        <v>112.3</v>
      </c>
      <c r="AW85" s="51">
        <v>111.7</v>
      </c>
      <c r="AX85" s="51">
        <v>110.4</v>
      </c>
      <c r="AY85" s="51">
        <v>111.8</v>
      </c>
      <c r="AZ85" s="51">
        <v>112.8</v>
      </c>
      <c r="BA85" s="51">
        <v>113.4</v>
      </c>
      <c r="BB85" s="51">
        <v>113.7</v>
      </c>
      <c r="BC85" s="51">
        <v>115.2</v>
      </c>
      <c r="BD85" s="51">
        <v>115.5</v>
      </c>
      <c r="BE85" s="51">
        <v>115.6</v>
      </c>
      <c r="BF85" s="51">
        <v>114.3</v>
      </c>
      <c r="BG85" s="51">
        <v>114.3</v>
      </c>
      <c r="BH85" s="51">
        <v>113.9</v>
      </c>
      <c r="BI85" s="51">
        <v>113.2</v>
      </c>
      <c r="BJ85" s="51">
        <v>114.6</v>
      </c>
      <c r="BK85" s="51">
        <v>115.7</v>
      </c>
      <c r="BL85" s="51">
        <v>115</v>
      </c>
      <c r="BM85" s="51">
        <v>115.3</v>
      </c>
      <c r="BN85" s="51">
        <v>115.3</v>
      </c>
      <c r="BO85" s="51">
        <v>116.3</v>
      </c>
      <c r="BP85" s="51">
        <v>117.4</v>
      </c>
      <c r="BQ85" s="51">
        <v>117.8</v>
      </c>
      <c r="BR85" s="51">
        <v>118.9</v>
      </c>
      <c r="BS85" s="51">
        <v>119.8</v>
      </c>
      <c r="BT85" s="51">
        <v>120.4</v>
      </c>
      <c r="BU85" s="51">
        <v>120.1</v>
      </c>
      <c r="BV85" s="51">
        <v>120.7</v>
      </c>
      <c r="BW85" s="51">
        <v>122.5</v>
      </c>
      <c r="BX85" s="51">
        <v>123.3</v>
      </c>
      <c r="BY85" s="51">
        <v>121.2</v>
      </c>
      <c r="BZ85" s="51">
        <v>118.8</v>
      </c>
      <c r="CA85" s="51">
        <v>118.6</v>
      </c>
      <c r="CB85" s="51">
        <v>119.2</v>
      </c>
      <c r="CC85" s="51">
        <v>119.9</v>
      </c>
      <c r="CD85" s="51">
        <v>120</v>
      </c>
      <c r="CE85" s="51">
        <v>120.1</v>
      </c>
      <c r="CF85" s="51">
        <v>119.6</v>
      </c>
      <c r="CG85" s="51">
        <v>120.6</v>
      </c>
      <c r="CH85" s="51">
        <v>120.8</v>
      </c>
      <c r="CI85" s="51">
        <v>121.2</v>
      </c>
      <c r="CJ85" s="51">
        <v>121.5</v>
      </c>
      <c r="CK85" s="51">
        <v>121.7</v>
      </c>
      <c r="CL85" s="51">
        <v>125.2</v>
      </c>
      <c r="CM85" s="51">
        <v>126.1</v>
      </c>
      <c r="CN85" s="51">
        <v>125.2</v>
      </c>
      <c r="CO85" s="51">
        <v>124.6</v>
      </c>
      <c r="CP85" s="51">
        <v>126.16666666666667</v>
      </c>
      <c r="CQ85" s="51">
        <v>127.73333333333333</v>
      </c>
      <c r="CR85" s="51">
        <v>129.30000000000001</v>
      </c>
      <c r="CS85" s="51">
        <v>129.30000000000001</v>
      </c>
      <c r="CT85" s="51">
        <v>133.9</v>
      </c>
      <c r="CU85" s="51">
        <v>135.1</v>
      </c>
      <c r="CV85" s="51">
        <v>135.4</v>
      </c>
      <c r="CW85" s="51">
        <v>135.19999999999999</v>
      </c>
      <c r="CX85" s="51">
        <v>135.5</v>
      </c>
      <c r="CY85" s="51">
        <v>136.9</v>
      </c>
      <c r="CZ85" s="51">
        <v>140.5</v>
      </c>
      <c r="DA85" s="51">
        <v>141.69999999999999</v>
      </c>
      <c r="DB85" s="51">
        <v>142.1</v>
      </c>
      <c r="DC85" s="51">
        <v>145</v>
      </c>
      <c r="DD85" s="51">
        <v>147.5</v>
      </c>
      <c r="DE85" s="51">
        <v>149.5</v>
      </c>
      <c r="DF85" s="51">
        <v>150.4</v>
      </c>
      <c r="DG85" s="51">
        <v>150.5</v>
      </c>
      <c r="DH85" s="51">
        <v>152.19999999999999</v>
      </c>
      <c r="DI85" s="51">
        <v>151.19999999999999</v>
      </c>
      <c r="DJ85" s="51">
        <v>151.80000000000001</v>
      </c>
      <c r="DK85" s="51">
        <v>152.69999999999999</v>
      </c>
      <c r="DL85" s="51">
        <v>153.1</v>
      </c>
      <c r="DM85" s="51">
        <v>154.19999999999999</v>
      </c>
      <c r="DN85" s="51">
        <v>159.30000000000001</v>
      </c>
      <c r="DO85" s="51">
        <v>159.4</v>
      </c>
      <c r="DP85" s="51">
        <v>157.19999999999999</v>
      </c>
      <c r="DQ85" s="51">
        <v>157.4</v>
      </c>
      <c r="DR85" s="51">
        <v>157.69999999999999</v>
      </c>
      <c r="DS85" s="51">
        <v>158.19999999999999</v>
      </c>
      <c r="DT85" s="51">
        <v>158.80000000000001</v>
      </c>
      <c r="DU85" s="51">
        <v>158.9</v>
      </c>
      <c r="DV85" s="51">
        <v>159.4</v>
      </c>
      <c r="DW85" s="51">
        <v>159.5</v>
      </c>
      <c r="DX85" s="51">
        <v>159.80000000000001</v>
      </c>
      <c r="DY85" s="51">
        <v>159.80000000000001</v>
      </c>
      <c r="DZ85" s="51">
        <v>160.1</v>
      </c>
      <c r="EA85" s="51">
        <v>160.4</v>
      </c>
    </row>
    <row r="86" spans="4:131" x14ac:dyDescent="0.35">
      <c r="D86" s="50" t="s">
        <v>25</v>
      </c>
      <c r="E86" s="51" t="s">
        <v>60</v>
      </c>
      <c r="F86" s="51" t="s">
        <v>33</v>
      </c>
      <c r="G86" s="51">
        <v>102.9</v>
      </c>
      <c r="H86" s="51">
        <v>103.3</v>
      </c>
      <c r="I86" s="51">
        <v>103.5</v>
      </c>
      <c r="J86" s="51">
        <v>104</v>
      </c>
      <c r="K86" s="51">
        <v>104.6</v>
      </c>
      <c r="L86" s="51">
        <v>105.2</v>
      </c>
      <c r="M86" s="51">
        <v>105.9</v>
      </c>
      <c r="N86" s="51">
        <v>106.5</v>
      </c>
      <c r="O86" s="51">
        <v>107.4</v>
      </c>
      <c r="P86" s="51">
        <v>108</v>
      </c>
      <c r="Q86" s="51">
        <v>108.5</v>
      </c>
      <c r="R86" s="51">
        <v>108.9</v>
      </c>
      <c r="S86" s="51">
        <v>109.8</v>
      </c>
      <c r="T86" s="51">
        <v>110.3</v>
      </c>
      <c r="U86" s="51">
        <v>110.9</v>
      </c>
      <c r="V86" s="51">
        <v>111.2</v>
      </c>
      <c r="W86" s="51">
        <v>111.5</v>
      </c>
      <c r="X86" s="51">
        <v>111.8</v>
      </c>
      <c r="Y86" s="51">
        <v>112.4</v>
      </c>
      <c r="Z86" s="51">
        <v>112.9</v>
      </c>
      <c r="AA86" s="51">
        <v>113.4</v>
      </c>
      <c r="AB86" s="51">
        <v>113.6</v>
      </c>
      <c r="AC86" s="51">
        <v>114</v>
      </c>
      <c r="AD86" s="51">
        <v>114.3</v>
      </c>
      <c r="AE86" s="51">
        <v>114.6</v>
      </c>
      <c r="AF86" s="51">
        <v>114.9</v>
      </c>
      <c r="AG86" s="51">
        <v>115.4</v>
      </c>
      <c r="AH86" s="51">
        <v>115.6</v>
      </c>
      <c r="AI86" s="51">
        <v>116</v>
      </c>
      <c r="AJ86" s="51">
        <v>116.2</v>
      </c>
      <c r="AK86" s="51">
        <v>116.6</v>
      </c>
      <c r="AL86" s="51">
        <v>117.2</v>
      </c>
      <c r="AM86" s="51">
        <v>117.3</v>
      </c>
      <c r="AN86" s="51">
        <v>117.7</v>
      </c>
      <c r="AO86" s="51">
        <v>117.9</v>
      </c>
      <c r="AP86" s="51">
        <v>118.1</v>
      </c>
      <c r="AQ86" s="51">
        <v>118.5</v>
      </c>
      <c r="AR86" s="51">
        <v>118.8</v>
      </c>
      <c r="AS86" s="51">
        <v>119.1</v>
      </c>
      <c r="AT86" s="51">
        <v>119.5</v>
      </c>
      <c r="AU86" s="51">
        <v>119.8</v>
      </c>
      <c r="AV86" s="51">
        <v>119.9</v>
      </c>
      <c r="AW86" s="51">
        <v>120.3</v>
      </c>
      <c r="AX86" s="51">
        <v>120.6</v>
      </c>
      <c r="AY86" s="51">
        <v>120.8</v>
      </c>
      <c r="AZ86" s="51">
        <v>121.2</v>
      </c>
      <c r="BA86" s="51">
        <v>121.7</v>
      </c>
      <c r="BB86" s="51">
        <v>121.8</v>
      </c>
      <c r="BC86" s="51">
        <v>122</v>
      </c>
      <c r="BD86" s="51">
        <v>122.2</v>
      </c>
      <c r="BE86" s="51">
        <v>122.4</v>
      </c>
      <c r="BF86" s="51">
        <v>122.6</v>
      </c>
      <c r="BG86" s="51">
        <v>122.8</v>
      </c>
      <c r="BH86" s="51">
        <v>122.9</v>
      </c>
      <c r="BI86" s="51">
        <v>123.5</v>
      </c>
      <c r="BJ86" s="51">
        <v>124.1</v>
      </c>
      <c r="BK86" s="51">
        <v>124.5</v>
      </c>
      <c r="BL86" s="51">
        <v>124.8</v>
      </c>
      <c r="BM86" s="51">
        <v>125.1</v>
      </c>
      <c r="BN86" s="51">
        <v>125.6</v>
      </c>
      <c r="BO86" s="51">
        <v>126.2</v>
      </c>
      <c r="BP86" s="51">
        <v>126.5</v>
      </c>
      <c r="BQ86" s="51">
        <v>126.8</v>
      </c>
      <c r="BR86" s="51">
        <v>127.6</v>
      </c>
      <c r="BS86" s="51">
        <v>128</v>
      </c>
      <c r="BT86" s="51">
        <v>128.5</v>
      </c>
      <c r="BU86" s="51">
        <v>129</v>
      </c>
      <c r="BV86" s="51">
        <v>129.80000000000001</v>
      </c>
      <c r="BW86" s="51">
        <v>130.19999999999999</v>
      </c>
      <c r="BX86" s="51">
        <v>130.69999999999999</v>
      </c>
      <c r="BY86" s="51">
        <v>131.30000000000001</v>
      </c>
      <c r="BZ86" s="51">
        <v>131.69999999999999</v>
      </c>
      <c r="CA86" s="51">
        <v>131.9</v>
      </c>
      <c r="CB86" s="51">
        <v>132.19999999999999</v>
      </c>
      <c r="CC86" s="51">
        <v>133</v>
      </c>
      <c r="CD86" s="51">
        <v>133.5</v>
      </c>
      <c r="CE86" s="51">
        <v>134</v>
      </c>
      <c r="CF86" s="51">
        <v>134.30000000000001</v>
      </c>
      <c r="CG86" s="51">
        <v>135</v>
      </c>
      <c r="CH86" s="51">
        <v>135.4</v>
      </c>
      <c r="CI86" s="51">
        <v>135.9</v>
      </c>
      <c r="CJ86" s="51">
        <v>136.19999999999999</v>
      </c>
      <c r="CK86" s="51">
        <v>136.69999999999999</v>
      </c>
      <c r="CL86" s="51">
        <v>136.80000000000001</v>
      </c>
      <c r="CM86" s="51">
        <v>137.19999999999999</v>
      </c>
      <c r="CN86" s="51">
        <v>137.69999999999999</v>
      </c>
      <c r="CO86" s="51">
        <v>137.9</v>
      </c>
      <c r="CP86" s="51">
        <v>140.1</v>
      </c>
      <c r="CQ86" s="51">
        <v>142.30000000000001</v>
      </c>
      <c r="CR86" s="51">
        <v>144.5</v>
      </c>
      <c r="CS86" s="51">
        <v>144.5</v>
      </c>
      <c r="CT86" s="51">
        <v>141.19999999999999</v>
      </c>
      <c r="CU86" s="51">
        <v>141.80000000000001</v>
      </c>
      <c r="CV86" s="51">
        <v>142</v>
      </c>
      <c r="CW86" s="51">
        <v>144.4</v>
      </c>
      <c r="CX86" s="51">
        <v>144.30000000000001</v>
      </c>
      <c r="CY86" s="51">
        <v>145.4</v>
      </c>
      <c r="CZ86" s="51">
        <v>147.30000000000001</v>
      </c>
      <c r="DA86" s="51">
        <v>148.6</v>
      </c>
      <c r="DB86" s="51">
        <v>149.1</v>
      </c>
      <c r="DC86" s="51">
        <v>152.6</v>
      </c>
      <c r="DD86" s="51">
        <v>150.69999999999999</v>
      </c>
      <c r="DE86" s="51">
        <v>151.19999999999999</v>
      </c>
      <c r="DF86" s="51">
        <v>153.69999999999999</v>
      </c>
      <c r="DG86" s="51">
        <v>153.9</v>
      </c>
      <c r="DH86" s="51">
        <v>155.1</v>
      </c>
      <c r="DI86" s="51">
        <v>156.69999999999999</v>
      </c>
      <c r="DJ86" s="51">
        <v>157.6</v>
      </c>
      <c r="DK86" s="51">
        <v>158.4</v>
      </c>
      <c r="DL86" s="51">
        <v>159.5</v>
      </c>
      <c r="DM86" s="51">
        <v>160.80000000000001</v>
      </c>
      <c r="DN86" s="51">
        <v>162.19999999999999</v>
      </c>
      <c r="DO86" s="51">
        <v>163.19999999999999</v>
      </c>
      <c r="DP86" s="51">
        <v>164.1</v>
      </c>
      <c r="DQ86" s="51">
        <v>164.6</v>
      </c>
      <c r="DR86" s="51">
        <v>165.1</v>
      </c>
      <c r="DS86" s="51">
        <v>165.8</v>
      </c>
      <c r="DT86" s="51">
        <v>166.3</v>
      </c>
      <c r="DU86" s="51">
        <v>166.7</v>
      </c>
      <c r="DV86" s="51">
        <v>167.1</v>
      </c>
      <c r="DW86" s="51">
        <v>167.8</v>
      </c>
      <c r="DX86" s="51">
        <v>168.4</v>
      </c>
      <c r="DY86" s="51">
        <v>168.4</v>
      </c>
      <c r="DZ86" s="51">
        <v>168.8</v>
      </c>
      <c r="EA86" s="51">
        <v>169.2</v>
      </c>
    </row>
    <row r="87" spans="4:131" x14ac:dyDescent="0.35">
      <c r="D87" s="50" t="s">
        <v>26</v>
      </c>
      <c r="E87" s="51" t="s">
        <v>61</v>
      </c>
      <c r="F87" s="51" t="s">
        <v>33</v>
      </c>
      <c r="G87" s="51">
        <v>103.5</v>
      </c>
      <c r="H87" s="51">
        <v>103.7</v>
      </c>
      <c r="I87" s="51">
        <v>103.8</v>
      </c>
      <c r="J87" s="51">
        <v>105.2</v>
      </c>
      <c r="K87" s="51">
        <v>105.7</v>
      </c>
      <c r="L87" s="51">
        <v>108.1</v>
      </c>
      <c r="M87" s="51">
        <v>110.1</v>
      </c>
      <c r="N87" s="51">
        <v>110.8</v>
      </c>
      <c r="O87" s="51">
        <v>111.2</v>
      </c>
      <c r="P87" s="51">
        <v>111.3</v>
      </c>
      <c r="Q87" s="51">
        <v>111.3</v>
      </c>
      <c r="R87" s="51">
        <v>111.4</v>
      </c>
      <c r="S87" s="51">
        <v>111.5</v>
      </c>
      <c r="T87" s="51">
        <v>111.6</v>
      </c>
      <c r="U87" s="51">
        <v>111.8</v>
      </c>
      <c r="V87" s="51">
        <v>112.5</v>
      </c>
      <c r="W87" s="51">
        <v>112.9</v>
      </c>
      <c r="X87" s="51">
        <v>115.1</v>
      </c>
      <c r="Y87" s="51">
        <v>117.8</v>
      </c>
      <c r="Z87" s="51">
        <v>119.2</v>
      </c>
      <c r="AA87" s="51">
        <v>120</v>
      </c>
      <c r="AB87" s="51">
        <v>120.2</v>
      </c>
      <c r="AC87" s="51">
        <v>120.3</v>
      </c>
      <c r="AD87" s="51">
        <v>120.7</v>
      </c>
      <c r="AE87" s="51">
        <v>120.8</v>
      </c>
      <c r="AF87" s="51">
        <v>120.4</v>
      </c>
      <c r="AG87" s="51">
        <v>120.6</v>
      </c>
      <c r="AH87" s="51">
        <v>121.7</v>
      </c>
      <c r="AI87" s="51">
        <v>122</v>
      </c>
      <c r="AJ87" s="51">
        <v>123.8</v>
      </c>
      <c r="AK87" s="51">
        <v>125.4</v>
      </c>
      <c r="AL87" s="51">
        <v>126.2</v>
      </c>
      <c r="AM87" s="51">
        <v>126.5</v>
      </c>
      <c r="AN87" s="51">
        <v>126.5</v>
      </c>
      <c r="AO87" s="51">
        <v>126.6</v>
      </c>
      <c r="AP87" s="51">
        <v>126.6</v>
      </c>
      <c r="AQ87" s="51">
        <v>126.4</v>
      </c>
      <c r="AR87" s="51">
        <v>126.3</v>
      </c>
      <c r="AS87" s="51">
        <v>126.4</v>
      </c>
      <c r="AT87" s="51">
        <v>127.6</v>
      </c>
      <c r="AU87" s="51">
        <v>128</v>
      </c>
      <c r="AV87" s="51">
        <v>129.30000000000001</v>
      </c>
      <c r="AW87" s="51">
        <v>130.80000000000001</v>
      </c>
      <c r="AX87" s="51">
        <v>131.5</v>
      </c>
      <c r="AY87" s="51">
        <v>131.6</v>
      </c>
      <c r="AZ87" s="51">
        <v>131.9</v>
      </c>
      <c r="BA87" s="51">
        <v>132.1</v>
      </c>
      <c r="BB87" s="51">
        <v>132.30000000000001</v>
      </c>
      <c r="BC87" s="51">
        <v>132.4</v>
      </c>
      <c r="BD87" s="51">
        <v>132.4</v>
      </c>
      <c r="BE87" s="51">
        <v>132.80000000000001</v>
      </c>
      <c r="BF87" s="51">
        <v>133.6</v>
      </c>
      <c r="BG87" s="51">
        <v>133.80000000000001</v>
      </c>
      <c r="BH87" s="51">
        <v>134.30000000000001</v>
      </c>
      <c r="BI87" s="51">
        <v>135.5</v>
      </c>
      <c r="BJ87" s="51">
        <v>135.69999999999999</v>
      </c>
      <c r="BK87" s="51">
        <v>135.9</v>
      </c>
      <c r="BL87" s="51">
        <v>136.30000000000001</v>
      </c>
      <c r="BM87" s="51">
        <v>136.6</v>
      </c>
      <c r="BN87" s="51">
        <v>136.69999999999999</v>
      </c>
      <c r="BO87" s="51">
        <v>137.1</v>
      </c>
      <c r="BP87" s="51">
        <v>137.19999999999999</v>
      </c>
      <c r="BQ87" s="51">
        <v>137.80000000000001</v>
      </c>
      <c r="BR87" s="51">
        <v>139.69999999999999</v>
      </c>
      <c r="BS87" s="51">
        <v>140.4</v>
      </c>
      <c r="BT87" s="51">
        <v>141.19999999999999</v>
      </c>
      <c r="BU87" s="51">
        <v>144</v>
      </c>
      <c r="BV87" s="51">
        <v>145.30000000000001</v>
      </c>
      <c r="BW87" s="51">
        <v>145.19999999999999</v>
      </c>
      <c r="BX87" s="51">
        <v>145.5</v>
      </c>
      <c r="BY87" s="51">
        <v>146.1</v>
      </c>
      <c r="BZ87" s="51">
        <v>146.5</v>
      </c>
      <c r="CA87" s="51">
        <v>146.6</v>
      </c>
      <c r="CB87" s="51">
        <v>146.6</v>
      </c>
      <c r="CC87" s="51">
        <v>146.69999999999999</v>
      </c>
      <c r="CD87" s="51">
        <v>147.35</v>
      </c>
      <c r="CE87" s="51">
        <v>148</v>
      </c>
      <c r="CF87" s="51">
        <v>148.9</v>
      </c>
      <c r="CG87" s="51">
        <v>150.4</v>
      </c>
      <c r="CH87" s="51">
        <v>151.5</v>
      </c>
      <c r="CI87" s="51">
        <v>151.6</v>
      </c>
      <c r="CJ87" s="51">
        <v>151.69999999999999</v>
      </c>
      <c r="CK87" s="51">
        <v>151.80000000000001</v>
      </c>
      <c r="CL87" s="51">
        <v>151.9</v>
      </c>
      <c r="CM87" s="51">
        <v>152.1</v>
      </c>
      <c r="CN87" s="51">
        <v>152.19999999999999</v>
      </c>
      <c r="CO87" s="51">
        <v>152.5</v>
      </c>
      <c r="CP87" s="51">
        <v>152.5</v>
      </c>
      <c r="CQ87" s="51">
        <v>152.5</v>
      </c>
      <c r="CR87" s="51">
        <v>152.5</v>
      </c>
      <c r="CS87" s="51">
        <v>152.5</v>
      </c>
      <c r="CT87" s="51">
        <v>155.5</v>
      </c>
      <c r="CU87" s="51">
        <v>154.9</v>
      </c>
      <c r="CV87" s="51">
        <v>155.69999999999999</v>
      </c>
      <c r="CW87" s="51">
        <v>156.4</v>
      </c>
      <c r="CX87" s="51">
        <v>156.9</v>
      </c>
      <c r="CY87" s="51">
        <v>156.1</v>
      </c>
      <c r="CZ87" s="51">
        <v>156.6</v>
      </c>
      <c r="DA87" s="51">
        <v>157.6</v>
      </c>
      <c r="DB87" s="51">
        <v>157.6</v>
      </c>
      <c r="DC87" s="51">
        <v>156.6</v>
      </c>
      <c r="DD87" s="51">
        <v>158.1</v>
      </c>
      <c r="DE87" s="51">
        <v>160.30000000000001</v>
      </c>
      <c r="DF87" s="51">
        <v>160.4</v>
      </c>
      <c r="DG87" s="51">
        <v>160.30000000000001</v>
      </c>
      <c r="DH87" s="51">
        <v>160.30000000000001</v>
      </c>
      <c r="DI87" s="51">
        <v>160.80000000000001</v>
      </c>
      <c r="DJ87" s="51">
        <v>160.6</v>
      </c>
      <c r="DK87" s="51">
        <v>161</v>
      </c>
      <c r="DL87" s="51">
        <v>162</v>
      </c>
      <c r="DM87" s="51">
        <v>162.69999999999999</v>
      </c>
      <c r="DN87" s="51">
        <v>164</v>
      </c>
      <c r="DO87" s="51">
        <v>165.2</v>
      </c>
      <c r="DP87" s="51">
        <v>166.5</v>
      </c>
      <c r="DQ87" s="51">
        <v>169.1</v>
      </c>
      <c r="DR87" s="51">
        <v>169.9</v>
      </c>
      <c r="DS87" s="51">
        <v>170.9</v>
      </c>
      <c r="DT87" s="51">
        <v>171.2</v>
      </c>
      <c r="DU87" s="51">
        <v>171.5</v>
      </c>
      <c r="DV87" s="51">
        <v>171.8</v>
      </c>
      <c r="DW87" s="51">
        <v>171.8</v>
      </c>
      <c r="DX87" s="51">
        <v>172.5</v>
      </c>
      <c r="DY87" s="51">
        <v>172.5</v>
      </c>
      <c r="DZ87" s="51">
        <v>174.2</v>
      </c>
      <c r="EA87" s="51">
        <v>174.8</v>
      </c>
    </row>
    <row r="88" spans="4:131" x14ac:dyDescent="0.35">
      <c r="D88" s="50" t="s">
        <v>27</v>
      </c>
      <c r="E88" s="51" t="s">
        <v>60</v>
      </c>
      <c r="F88" s="51" t="s">
        <v>33</v>
      </c>
      <c r="G88" s="51">
        <v>104.3</v>
      </c>
      <c r="H88" s="51">
        <v>104.3</v>
      </c>
      <c r="I88" s="51">
        <v>104.2</v>
      </c>
      <c r="J88" s="51">
        <v>103.2</v>
      </c>
      <c r="K88" s="51">
        <v>102.6</v>
      </c>
      <c r="L88" s="51">
        <v>103.3</v>
      </c>
      <c r="M88" s="51">
        <v>103.2</v>
      </c>
      <c r="N88" s="51">
        <v>106</v>
      </c>
      <c r="O88" s="51">
        <v>106.9</v>
      </c>
      <c r="P88" s="51">
        <v>107.3</v>
      </c>
      <c r="Q88" s="51">
        <v>107.9</v>
      </c>
      <c r="R88" s="51">
        <v>107.7</v>
      </c>
      <c r="S88" s="51">
        <v>108</v>
      </c>
      <c r="T88" s="51">
        <v>108.7</v>
      </c>
      <c r="U88" s="51">
        <v>109.2</v>
      </c>
      <c r="V88" s="51">
        <v>109.1</v>
      </c>
      <c r="W88" s="51">
        <v>109.3</v>
      </c>
      <c r="X88" s="51">
        <v>108.7</v>
      </c>
      <c r="Y88" s="51">
        <v>109.7</v>
      </c>
      <c r="Z88" s="51">
        <v>110.5</v>
      </c>
      <c r="AA88" s="51">
        <v>110</v>
      </c>
      <c r="AB88" s="51">
        <v>110.1</v>
      </c>
      <c r="AC88" s="51">
        <v>109.6</v>
      </c>
      <c r="AD88" s="51">
        <v>110.4</v>
      </c>
      <c r="AE88" s="51">
        <v>111.4</v>
      </c>
      <c r="AF88" s="51">
        <v>111.7</v>
      </c>
      <c r="AG88" s="51">
        <v>111.3</v>
      </c>
      <c r="AH88" s="51">
        <v>111.8</v>
      </c>
      <c r="AI88" s="51">
        <v>112.4</v>
      </c>
      <c r="AJ88" s="51">
        <v>112.5</v>
      </c>
      <c r="AK88" s="51">
        <v>111.7</v>
      </c>
      <c r="AL88" s="51">
        <v>112</v>
      </c>
      <c r="AM88" s="51">
        <v>112.9</v>
      </c>
      <c r="AN88" s="51">
        <v>113.5</v>
      </c>
      <c r="AO88" s="51">
        <v>113.3</v>
      </c>
      <c r="AP88" s="51">
        <v>113.2</v>
      </c>
      <c r="AQ88" s="51">
        <v>114</v>
      </c>
      <c r="AR88" s="51">
        <v>116.2</v>
      </c>
      <c r="AS88" s="51">
        <v>117.1</v>
      </c>
      <c r="AT88" s="51">
        <v>117.6</v>
      </c>
      <c r="AU88" s="51">
        <v>118.5</v>
      </c>
      <c r="AV88" s="51">
        <v>118.8</v>
      </c>
      <c r="AW88" s="51">
        <v>120</v>
      </c>
      <c r="AX88" s="51">
        <v>120.9</v>
      </c>
      <c r="AY88" s="51">
        <v>121.2</v>
      </c>
      <c r="AZ88" s="51">
        <v>120.8</v>
      </c>
      <c r="BA88" s="51">
        <v>121.3</v>
      </c>
      <c r="BB88" s="51">
        <v>119.9</v>
      </c>
      <c r="BC88" s="51">
        <v>120.9</v>
      </c>
      <c r="BD88" s="51">
        <v>121.7</v>
      </c>
      <c r="BE88" s="51">
        <v>121.7</v>
      </c>
      <c r="BF88" s="51">
        <v>122.2</v>
      </c>
      <c r="BG88" s="51">
        <v>122</v>
      </c>
      <c r="BH88" s="51">
        <v>122.5</v>
      </c>
      <c r="BI88" s="51">
        <v>122.4</v>
      </c>
      <c r="BJ88" s="51">
        <v>123.3</v>
      </c>
      <c r="BK88" s="51">
        <v>124.4</v>
      </c>
      <c r="BL88" s="51">
        <v>124.6</v>
      </c>
      <c r="BM88" s="51">
        <v>124.9</v>
      </c>
      <c r="BN88" s="51">
        <v>124.6</v>
      </c>
      <c r="BO88" s="51">
        <v>125.5</v>
      </c>
      <c r="BP88" s="51">
        <v>126.2</v>
      </c>
      <c r="BQ88" s="51">
        <v>126.7</v>
      </c>
      <c r="BR88" s="51">
        <v>127.6</v>
      </c>
      <c r="BS88" s="51">
        <v>128.1</v>
      </c>
      <c r="BT88" s="51">
        <v>128.19999999999999</v>
      </c>
      <c r="BU88" s="51">
        <v>128.19999999999999</v>
      </c>
      <c r="BV88" s="51">
        <v>128.30000000000001</v>
      </c>
      <c r="BW88" s="51">
        <v>129.30000000000001</v>
      </c>
      <c r="BX88" s="51">
        <v>130.4</v>
      </c>
      <c r="BY88" s="51">
        <v>130.5</v>
      </c>
      <c r="BZ88" s="51">
        <v>130.80000000000001</v>
      </c>
      <c r="CA88" s="51">
        <v>131.69999999999999</v>
      </c>
      <c r="CB88" s="51">
        <v>133</v>
      </c>
      <c r="CC88" s="51">
        <v>132.5</v>
      </c>
      <c r="CD88" s="51">
        <v>132.55000000000001</v>
      </c>
      <c r="CE88" s="51">
        <v>132.6</v>
      </c>
      <c r="CF88" s="51">
        <v>133.69999999999999</v>
      </c>
      <c r="CG88" s="51">
        <v>135.1</v>
      </c>
      <c r="CH88" s="51">
        <v>137.80000000000001</v>
      </c>
      <c r="CI88" s="51">
        <v>139</v>
      </c>
      <c r="CJ88" s="51">
        <v>139.5</v>
      </c>
      <c r="CK88" s="51">
        <v>139.80000000000001</v>
      </c>
      <c r="CL88" s="51">
        <v>140.19999999999999</v>
      </c>
      <c r="CM88" s="51">
        <v>142.1</v>
      </c>
      <c r="CN88" s="51">
        <v>143.5</v>
      </c>
      <c r="CO88" s="51">
        <v>145.30000000000001</v>
      </c>
      <c r="CP88" s="51">
        <v>147.6</v>
      </c>
      <c r="CQ88" s="51">
        <v>149.9</v>
      </c>
      <c r="CR88" s="51">
        <v>152.19999999999999</v>
      </c>
      <c r="CS88" s="51">
        <v>152.19999999999999</v>
      </c>
      <c r="CT88" s="51">
        <v>155.19999999999999</v>
      </c>
      <c r="CU88" s="51">
        <v>159.80000000000001</v>
      </c>
      <c r="CV88" s="51">
        <v>158.1</v>
      </c>
      <c r="CW88" s="51">
        <v>157.9</v>
      </c>
      <c r="CX88" s="51">
        <v>157.9</v>
      </c>
      <c r="CY88" s="51">
        <v>157.69999999999999</v>
      </c>
      <c r="CZ88" s="51">
        <v>156.69999999999999</v>
      </c>
      <c r="DA88" s="51">
        <v>154.9</v>
      </c>
      <c r="DB88" s="51">
        <v>156.6</v>
      </c>
      <c r="DC88" s="51">
        <v>157.5</v>
      </c>
      <c r="DD88" s="51">
        <v>158</v>
      </c>
      <c r="DE88" s="51">
        <v>159.6</v>
      </c>
      <c r="DF88" s="51">
        <v>159.6</v>
      </c>
      <c r="DG88" s="51">
        <v>159.6</v>
      </c>
      <c r="DH88" s="51">
        <v>160.30000000000001</v>
      </c>
      <c r="DI88" s="51">
        <v>161.80000000000001</v>
      </c>
      <c r="DJ88" s="51">
        <v>162.4</v>
      </c>
      <c r="DK88" s="51">
        <v>162.80000000000001</v>
      </c>
      <c r="DL88" s="51">
        <v>164.2</v>
      </c>
      <c r="DM88" s="51">
        <v>166.8</v>
      </c>
      <c r="DN88" s="51">
        <v>168.4</v>
      </c>
      <c r="DO88" s="51">
        <v>168.2</v>
      </c>
      <c r="DP88" s="51">
        <v>169.2</v>
      </c>
      <c r="DQ88" s="51">
        <v>169.8</v>
      </c>
      <c r="DR88" s="51">
        <v>171.4</v>
      </c>
      <c r="DS88" s="51">
        <v>171.1</v>
      </c>
      <c r="DT88" s="51">
        <v>172.3</v>
      </c>
      <c r="DU88" s="51">
        <v>173.8</v>
      </c>
      <c r="DV88" s="51">
        <v>176</v>
      </c>
      <c r="DW88" s="51">
        <v>178.8</v>
      </c>
      <c r="DX88" s="51">
        <v>181.4</v>
      </c>
      <c r="DY88" s="51">
        <v>181.5</v>
      </c>
      <c r="DZ88" s="51">
        <v>184.4</v>
      </c>
      <c r="EA88" s="51">
        <v>185.6</v>
      </c>
    </row>
    <row r="89" spans="4:131" x14ac:dyDescent="0.35">
      <c r="D89" s="50" t="s">
        <v>28</v>
      </c>
      <c r="E89" s="51" t="s">
        <v>28</v>
      </c>
      <c r="F89" s="51" t="s">
        <v>33</v>
      </c>
      <c r="G89" s="51">
        <v>103.7</v>
      </c>
      <c r="H89" s="51">
        <v>104.3</v>
      </c>
      <c r="I89" s="51">
        <v>104.9</v>
      </c>
      <c r="J89" s="51">
        <v>105.1</v>
      </c>
      <c r="K89" s="51">
        <v>104.9</v>
      </c>
      <c r="L89" s="51">
        <v>106.1</v>
      </c>
      <c r="M89" s="51">
        <v>107.3</v>
      </c>
      <c r="N89" s="51">
        <v>108.3</v>
      </c>
      <c r="O89" s="51">
        <v>109.4</v>
      </c>
      <c r="P89" s="51">
        <v>109.4</v>
      </c>
      <c r="Q89" s="51">
        <v>109.6</v>
      </c>
      <c r="R89" s="51">
        <v>109.8</v>
      </c>
      <c r="S89" s="51">
        <v>110.5</v>
      </c>
      <c r="T89" s="51">
        <v>111</v>
      </c>
      <c r="U89" s="51">
        <v>111.4</v>
      </c>
      <c r="V89" s="51">
        <v>111.4</v>
      </c>
      <c r="W89" s="51">
        <v>111.7</v>
      </c>
      <c r="X89" s="51">
        <v>112.2</v>
      </c>
      <c r="Y89" s="51">
        <v>113.5</v>
      </c>
      <c r="Z89" s="51">
        <v>113.9</v>
      </c>
      <c r="AA89" s="51">
        <v>113.6</v>
      </c>
      <c r="AB89" s="51">
        <v>113.7</v>
      </c>
      <c r="AC89" s="51">
        <v>113.4</v>
      </c>
      <c r="AD89" s="51">
        <v>113.4</v>
      </c>
      <c r="AE89" s="51">
        <v>113.4</v>
      </c>
      <c r="AF89" s="51">
        <v>113.2</v>
      </c>
      <c r="AG89" s="51">
        <v>113.8</v>
      </c>
      <c r="AH89" s="51">
        <v>114.2</v>
      </c>
      <c r="AI89" s="51">
        <v>115.2</v>
      </c>
      <c r="AJ89" s="51">
        <v>116</v>
      </c>
      <c r="AK89" s="51">
        <v>116.3</v>
      </c>
      <c r="AL89" s="51">
        <v>116.2</v>
      </c>
      <c r="AM89" s="51">
        <v>116.2</v>
      </c>
      <c r="AN89" s="51">
        <v>116.5</v>
      </c>
      <c r="AO89" s="51">
        <v>116.6</v>
      </c>
      <c r="AP89" s="51">
        <v>116.7</v>
      </c>
      <c r="AQ89" s="51">
        <v>116.8</v>
      </c>
      <c r="AR89" s="51">
        <v>117.2</v>
      </c>
      <c r="AS89" s="51">
        <v>117.3</v>
      </c>
      <c r="AT89" s="51">
        <v>118.2</v>
      </c>
      <c r="AU89" s="51">
        <v>118.7</v>
      </c>
      <c r="AV89" s="51">
        <v>119.6</v>
      </c>
      <c r="AW89" s="51">
        <v>119.9</v>
      </c>
      <c r="AX89" s="51">
        <v>119.9</v>
      </c>
      <c r="AY89" s="51">
        <v>120.5</v>
      </c>
      <c r="AZ89" s="51">
        <v>120.9</v>
      </c>
      <c r="BA89" s="51">
        <v>121.3</v>
      </c>
      <c r="BB89" s="51">
        <v>121.4</v>
      </c>
      <c r="BC89" s="51">
        <v>122.1</v>
      </c>
      <c r="BD89" s="51">
        <v>122.4</v>
      </c>
      <c r="BE89" s="51">
        <v>122.6</v>
      </c>
      <c r="BF89" s="51">
        <v>122.5</v>
      </c>
      <c r="BG89" s="51">
        <v>122.6</v>
      </c>
      <c r="BH89" s="51">
        <v>122.7</v>
      </c>
      <c r="BI89" s="51">
        <v>123</v>
      </c>
      <c r="BJ89" s="51">
        <v>123.8</v>
      </c>
      <c r="BK89" s="51">
        <v>124.5</v>
      </c>
      <c r="BL89" s="51">
        <v>124.5</v>
      </c>
      <c r="BM89" s="51">
        <v>124.9</v>
      </c>
      <c r="BN89" s="51">
        <v>125.1</v>
      </c>
      <c r="BO89" s="51">
        <v>125.8</v>
      </c>
      <c r="BP89" s="51">
        <v>126.5</v>
      </c>
      <c r="BQ89" s="51">
        <v>127.1</v>
      </c>
      <c r="BR89" s="51">
        <v>128.19999999999999</v>
      </c>
      <c r="BS89" s="51">
        <v>128.9</v>
      </c>
      <c r="BT89" s="51">
        <v>129.5</v>
      </c>
      <c r="BU89" s="51">
        <v>130.19999999999999</v>
      </c>
      <c r="BV89" s="51">
        <v>131</v>
      </c>
      <c r="BW89" s="51">
        <v>131.9</v>
      </c>
      <c r="BX89" s="51">
        <v>132.5</v>
      </c>
      <c r="BY89" s="51">
        <v>132.19999999999999</v>
      </c>
      <c r="BZ89" s="51">
        <v>131.69999999999999</v>
      </c>
      <c r="CA89" s="51">
        <v>131.80000000000001</v>
      </c>
      <c r="CB89" s="51">
        <v>132.4</v>
      </c>
      <c r="CC89" s="51">
        <v>132.80000000000001</v>
      </c>
      <c r="CD89" s="51">
        <v>133.05000000000001</v>
      </c>
      <c r="CE89" s="51">
        <v>133.30000000000001</v>
      </c>
      <c r="CF89" s="51">
        <v>133.6</v>
      </c>
      <c r="CG89" s="51">
        <v>134.5</v>
      </c>
      <c r="CH89" s="51">
        <v>135.30000000000001</v>
      </c>
      <c r="CI89" s="51">
        <v>135.69999999999999</v>
      </c>
      <c r="CJ89" s="51">
        <v>136</v>
      </c>
      <c r="CK89" s="51">
        <v>136.30000000000001</v>
      </c>
      <c r="CL89" s="51">
        <v>137.69999999999999</v>
      </c>
      <c r="CM89" s="51">
        <v>138.4</v>
      </c>
      <c r="CN89" s="51">
        <v>138.4</v>
      </c>
      <c r="CO89" s="51">
        <v>138.69999999999999</v>
      </c>
      <c r="CP89" s="51">
        <v>139.79999999999998</v>
      </c>
      <c r="CQ89" s="51">
        <v>140.9</v>
      </c>
      <c r="CR89" s="51">
        <v>142</v>
      </c>
      <c r="CS89" s="51">
        <v>142</v>
      </c>
      <c r="CT89" s="51">
        <v>144.80000000000001</v>
      </c>
      <c r="CU89" s="51">
        <v>146</v>
      </c>
      <c r="CV89" s="51">
        <v>146.19999999999999</v>
      </c>
      <c r="CW89" s="51">
        <v>146.6</v>
      </c>
      <c r="CX89" s="51">
        <v>146.9</v>
      </c>
      <c r="CY89" s="51">
        <v>147.6</v>
      </c>
      <c r="CZ89" s="51">
        <v>149.30000000000001</v>
      </c>
      <c r="DA89" s="51">
        <v>150</v>
      </c>
      <c r="DB89" s="51">
        <v>150.5</v>
      </c>
      <c r="DC89" s="51">
        <v>152.30000000000001</v>
      </c>
      <c r="DD89" s="51">
        <v>153.4</v>
      </c>
      <c r="DE89" s="51">
        <v>155</v>
      </c>
      <c r="DF89" s="51">
        <v>156</v>
      </c>
      <c r="DG89" s="51">
        <v>156</v>
      </c>
      <c r="DH89" s="51">
        <v>157</v>
      </c>
      <c r="DI89" s="51">
        <v>157.30000000000001</v>
      </c>
      <c r="DJ89" s="51">
        <v>157.80000000000001</v>
      </c>
      <c r="DK89" s="51">
        <v>158.6</v>
      </c>
      <c r="DL89" s="51">
        <v>159.4</v>
      </c>
      <c r="DM89" s="51">
        <v>160.6</v>
      </c>
      <c r="DN89" s="51">
        <v>163.1</v>
      </c>
      <c r="DO89" s="51">
        <v>163.80000000000001</v>
      </c>
      <c r="DP89" s="51">
        <v>163.80000000000001</v>
      </c>
      <c r="DQ89" s="51">
        <v>164.7</v>
      </c>
      <c r="DR89" s="51">
        <v>165.4</v>
      </c>
      <c r="DS89" s="51">
        <v>166.1</v>
      </c>
      <c r="DT89" s="51">
        <v>166.8</v>
      </c>
      <c r="DU89" s="51">
        <v>167.4</v>
      </c>
      <c r="DV89" s="51">
        <v>168.2</v>
      </c>
      <c r="DW89" s="51">
        <v>168.9</v>
      </c>
      <c r="DX89" s="51">
        <v>170</v>
      </c>
      <c r="DY89" s="51">
        <v>170</v>
      </c>
      <c r="DZ89" s="51">
        <v>170.9</v>
      </c>
      <c r="EA89" s="51">
        <v>171.6</v>
      </c>
    </row>
    <row r="90" spans="4:131" x14ac:dyDescent="0.35">
      <c r="D90" s="50" t="s">
        <v>29</v>
      </c>
      <c r="E90" s="55" t="s">
        <v>64</v>
      </c>
      <c r="F90" s="51" t="s">
        <v>33</v>
      </c>
      <c r="G90" s="51">
        <v>104</v>
      </c>
      <c r="H90" s="51">
        <v>104.7</v>
      </c>
      <c r="I90" s="51">
        <v>105</v>
      </c>
      <c r="J90" s="51">
        <v>105.7</v>
      </c>
      <c r="K90" s="51">
        <v>106.6</v>
      </c>
      <c r="L90" s="51">
        <v>109.7</v>
      </c>
      <c r="M90" s="51">
        <v>111.4</v>
      </c>
      <c r="N90" s="51">
        <v>112.7</v>
      </c>
      <c r="O90" s="51">
        <v>113.2</v>
      </c>
      <c r="P90" s="51">
        <v>114</v>
      </c>
      <c r="Q90" s="51">
        <v>115</v>
      </c>
      <c r="R90" s="51">
        <v>113.3</v>
      </c>
      <c r="S90" s="51">
        <v>112.9</v>
      </c>
      <c r="T90" s="51">
        <v>113.1</v>
      </c>
      <c r="U90" s="51">
        <v>113.7</v>
      </c>
      <c r="V90" s="51">
        <v>114.7</v>
      </c>
      <c r="W90" s="51">
        <v>115.6</v>
      </c>
      <c r="X90" s="51">
        <v>116.4</v>
      </c>
      <c r="Y90" s="51">
        <v>118.9</v>
      </c>
      <c r="Z90" s="51">
        <v>119.9</v>
      </c>
      <c r="AA90" s="51">
        <v>119.2</v>
      </c>
      <c r="AB90" s="51">
        <v>119.1</v>
      </c>
      <c r="AC90" s="51">
        <v>119</v>
      </c>
      <c r="AD90" s="51">
        <v>118.4</v>
      </c>
      <c r="AE90" s="51">
        <v>118.5</v>
      </c>
      <c r="AF90" s="51">
        <v>118.7</v>
      </c>
      <c r="AG90" s="51">
        <v>119.1</v>
      </c>
      <c r="AH90" s="51">
        <v>119.7</v>
      </c>
      <c r="AI90" s="51">
        <v>120.7</v>
      </c>
      <c r="AJ90" s="51">
        <v>121.7</v>
      </c>
      <c r="AK90" s="51">
        <v>122.4</v>
      </c>
      <c r="AL90" s="51">
        <v>123.2</v>
      </c>
      <c r="AM90" s="51">
        <v>123.5</v>
      </c>
      <c r="AN90" s="51">
        <v>124.2</v>
      </c>
      <c r="AO90" s="51">
        <v>124.6</v>
      </c>
      <c r="AP90" s="51">
        <v>124</v>
      </c>
      <c r="AQ90" s="51">
        <v>124.2</v>
      </c>
      <c r="AR90" s="51">
        <v>123.8</v>
      </c>
      <c r="AS90" s="51">
        <v>123.8</v>
      </c>
      <c r="AT90" s="51">
        <v>125.3</v>
      </c>
      <c r="AU90" s="51">
        <v>126.6</v>
      </c>
      <c r="AV90" s="51">
        <v>128.1</v>
      </c>
      <c r="AW90" s="51">
        <v>129</v>
      </c>
      <c r="AX90" s="51">
        <v>128.4</v>
      </c>
      <c r="AY90" s="51">
        <v>128</v>
      </c>
      <c r="AZ90" s="51">
        <v>128.6</v>
      </c>
      <c r="BA90" s="51">
        <v>128.5</v>
      </c>
      <c r="BB90" s="51">
        <v>127.6</v>
      </c>
      <c r="BC90" s="51">
        <v>127.8</v>
      </c>
      <c r="BD90" s="51">
        <v>128.19999999999999</v>
      </c>
      <c r="BE90" s="51">
        <v>128.69999999999999</v>
      </c>
      <c r="BF90" s="51">
        <v>129.1</v>
      </c>
      <c r="BG90" s="51">
        <v>129.30000000000001</v>
      </c>
      <c r="BH90" s="51">
        <v>129.9</v>
      </c>
      <c r="BI90" s="51">
        <v>131.80000000000001</v>
      </c>
      <c r="BJ90" s="51">
        <v>132.69999999999999</v>
      </c>
      <c r="BK90" s="51">
        <v>132.4</v>
      </c>
      <c r="BL90" s="51">
        <v>133.5</v>
      </c>
      <c r="BM90" s="51">
        <v>134.80000000000001</v>
      </c>
      <c r="BN90" s="51">
        <v>134.1</v>
      </c>
      <c r="BO90" s="51">
        <v>134.1</v>
      </c>
      <c r="BP90" s="51">
        <v>134</v>
      </c>
      <c r="BQ90" s="51">
        <v>134</v>
      </c>
      <c r="BR90" s="51">
        <v>134.80000000000001</v>
      </c>
      <c r="BS90" s="51">
        <v>135.4</v>
      </c>
      <c r="BT90" s="51">
        <v>136.19999999999999</v>
      </c>
      <c r="BU90" s="51">
        <v>137.5</v>
      </c>
      <c r="BV90" s="51">
        <v>138</v>
      </c>
      <c r="BW90" s="51">
        <v>138.1</v>
      </c>
      <c r="BX90" s="51">
        <v>138.9</v>
      </c>
      <c r="BY90" s="51">
        <v>139</v>
      </c>
      <c r="BZ90" s="51">
        <v>138</v>
      </c>
      <c r="CA90" s="51">
        <v>138</v>
      </c>
      <c r="CB90" s="51">
        <v>138.6</v>
      </c>
      <c r="CC90" s="51">
        <v>139.5</v>
      </c>
      <c r="CD90" s="51">
        <v>140.5</v>
      </c>
      <c r="CE90" s="51">
        <v>141.5</v>
      </c>
      <c r="CF90" s="51">
        <v>142.1</v>
      </c>
      <c r="CG90" s="51">
        <v>143.30000000000001</v>
      </c>
      <c r="CH90" s="51">
        <v>144.19999999999999</v>
      </c>
      <c r="CI90" s="51">
        <v>144.69999999999999</v>
      </c>
      <c r="CJ90" s="51">
        <v>146</v>
      </c>
      <c r="CK90" s="51">
        <v>147</v>
      </c>
      <c r="CL90" s="51">
        <v>148.30000000000001</v>
      </c>
      <c r="CM90" s="51">
        <v>148.19999999999999</v>
      </c>
      <c r="CN90" s="51">
        <v>147.69999999999999</v>
      </c>
      <c r="CO90" s="51">
        <v>147.30000000000001</v>
      </c>
      <c r="CP90" s="51">
        <v>148.46666666666667</v>
      </c>
      <c r="CQ90" s="51">
        <v>149.63333333333335</v>
      </c>
      <c r="CR90" s="51">
        <v>150.80000000000001</v>
      </c>
      <c r="CS90" s="51">
        <v>150.80000000000001</v>
      </c>
      <c r="CT90" s="51">
        <v>152.9</v>
      </c>
      <c r="CU90" s="51">
        <v>154</v>
      </c>
      <c r="CV90" s="51">
        <v>155.19999999999999</v>
      </c>
      <c r="CW90" s="51">
        <v>156.69999999999999</v>
      </c>
      <c r="CX90" s="51">
        <v>156.9</v>
      </c>
      <c r="CY90" s="51">
        <v>156</v>
      </c>
      <c r="CZ90" s="51">
        <v>156.5</v>
      </c>
      <c r="DA90" s="51">
        <v>156.9</v>
      </c>
      <c r="DB90" s="51">
        <v>158</v>
      </c>
      <c r="DC90" s="51">
        <v>159.5</v>
      </c>
      <c r="DD90" s="51">
        <v>160.4</v>
      </c>
      <c r="DE90" s="51">
        <v>161.80000000000001</v>
      </c>
      <c r="DF90" s="51">
        <v>162.30000000000001</v>
      </c>
      <c r="DG90" s="51">
        <v>162.30000000000001</v>
      </c>
      <c r="DH90" s="51">
        <v>164.6</v>
      </c>
      <c r="DI90" s="51">
        <v>165.6</v>
      </c>
      <c r="DJ90" s="51">
        <v>165.2</v>
      </c>
      <c r="DK90" s="51">
        <v>165</v>
      </c>
      <c r="DL90" s="51">
        <v>165.5</v>
      </c>
      <c r="DM90" s="51">
        <v>166.5</v>
      </c>
      <c r="DN90" s="51">
        <v>169.2</v>
      </c>
      <c r="DO90" s="51">
        <v>170.8</v>
      </c>
      <c r="DP90" s="51">
        <v>171.4</v>
      </c>
      <c r="DQ90" s="51">
        <v>172.3</v>
      </c>
      <c r="DR90" s="51">
        <v>173.1</v>
      </c>
      <c r="DS90" s="51">
        <v>174.1</v>
      </c>
      <c r="DT90" s="51">
        <v>175.3</v>
      </c>
      <c r="DU90" s="51">
        <v>174.1</v>
      </c>
      <c r="DV90" s="51">
        <v>174.1</v>
      </c>
      <c r="DW90" s="51">
        <v>174.9</v>
      </c>
      <c r="DX90" s="51">
        <v>176.3</v>
      </c>
      <c r="DY90" s="51">
        <v>176.3</v>
      </c>
      <c r="DZ90" s="51">
        <v>177.4</v>
      </c>
      <c r="EA90" s="51">
        <v>178.2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167-C30E-4E98-BEF3-4DAA923F6BD0}">
  <dimension ref="D4:AP80"/>
  <sheetViews>
    <sheetView topLeftCell="A32" zoomScale="45" workbookViewId="0">
      <selection activeCell="G87" sqref="G87"/>
    </sheetView>
  </sheetViews>
  <sheetFormatPr defaultRowHeight="14.5" x14ac:dyDescent="0.35"/>
  <cols>
    <col min="4" max="4" width="19.453125" customWidth="1"/>
    <col min="5" max="5" width="15" customWidth="1"/>
    <col min="6" max="6" width="16" customWidth="1"/>
    <col min="7" max="7" width="25.1796875" customWidth="1"/>
    <col min="8" max="8" width="12.26953125" bestFit="1" customWidth="1"/>
    <col min="10" max="10" width="15.90625" bestFit="1" customWidth="1"/>
    <col min="11" max="11" width="11.08984375" bestFit="1" customWidth="1"/>
    <col min="13" max="13" width="13.1796875" customWidth="1"/>
    <col min="14" max="14" width="18.6328125" customWidth="1"/>
    <col min="15" max="15" width="21.453125" bestFit="1" customWidth="1"/>
    <col min="17" max="17" width="21.36328125" bestFit="1" customWidth="1"/>
    <col min="18" max="18" width="30.7265625" bestFit="1" customWidth="1"/>
    <col min="19" max="19" width="17.7265625" bestFit="1" customWidth="1"/>
    <col min="20" max="20" width="24.7265625" bestFit="1" customWidth="1"/>
    <col min="21" max="22" width="11.81640625" bestFit="1" customWidth="1"/>
    <col min="23" max="23" width="19.54296875" bestFit="1" customWidth="1"/>
    <col min="24" max="24" width="10.7265625" customWidth="1"/>
    <col min="25" max="25" width="11.90625" bestFit="1" customWidth="1"/>
    <col min="26" max="26" width="26.26953125" bestFit="1" customWidth="1"/>
    <col min="28" max="28" width="26.36328125" bestFit="1" customWidth="1"/>
    <col min="29" max="29" width="24" bestFit="1" customWidth="1"/>
    <col min="30" max="30" width="9.08984375" bestFit="1" customWidth="1"/>
    <col min="31" max="31" width="21.90625" bestFit="1" customWidth="1"/>
    <col min="32" max="32" width="12.6328125" bestFit="1" customWidth="1"/>
    <col min="33" max="33" width="12.36328125" bestFit="1" customWidth="1"/>
  </cols>
  <sheetData>
    <row r="4" spans="4:42" x14ac:dyDescent="0.35">
      <c r="D4" s="6" t="s">
        <v>0</v>
      </c>
      <c r="E4" s="6" t="s">
        <v>1</v>
      </c>
      <c r="F4" s="6" t="s">
        <v>2</v>
      </c>
      <c r="G4" s="6" t="s">
        <v>3</v>
      </c>
      <c r="H4" s="6" t="s">
        <v>4</v>
      </c>
      <c r="I4" s="6" t="s">
        <v>5</v>
      </c>
      <c r="J4" s="6" t="s">
        <v>6</v>
      </c>
      <c r="K4" s="6" t="s">
        <v>7</v>
      </c>
      <c r="L4" s="6" t="s">
        <v>8</v>
      </c>
      <c r="M4" s="6" t="s">
        <v>9</v>
      </c>
      <c r="N4" s="6" t="s">
        <v>10</v>
      </c>
      <c r="O4" s="6" t="s">
        <v>11</v>
      </c>
      <c r="P4" s="6" t="s">
        <v>12</v>
      </c>
      <c r="Q4" s="6" t="s">
        <v>13</v>
      </c>
      <c r="R4" s="6" t="s">
        <v>14</v>
      </c>
      <c r="S4" s="6" t="s">
        <v>15</v>
      </c>
      <c r="T4" s="6" t="s">
        <v>16</v>
      </c>
      <c r="U4" s="6" t="s">
        <v>17</v>
      </c>
      <c r="V4" s="6" t="s">
        <v>18</v>
      </c>
      <c r="W4" s="6" t="s">
        <v>19</v>
      </c>
      <c r="X4" s="6" t="s">
        <v>20</v>
      </c>
      <c r="Y4" s="6" t="s">
        <v>21</v>
      </c>
      <c r="Z4" s="6" t="s">
        <v>22</v>
      </c>
      <c r="AA4" s="6" t="s">
        <v>23</v>
      </c>
      <c r="AB4" s="6" t="s">
        <v>24</v>
      </c>
      <c r="AC4" s="6" t="s">
        <v>25</v>
      </c>
      <c r="AD4" s="6" t="s">
        <v>26</v>
      </c>
      <c r="AE4" s="6" t="s">
        <v>27</v>
      </c>
      <c r="AF4" s="6" t="s">
        <v>28</v>
      </c>
      <c r="AG4" s="6" t="s">
        <v>29</v>
      </c>
    </row>
    <row r="7" spans="4:42" x14ac:dyDescent="0.35">
      <c r="D7" s="42" t="s">
        <v>34</v>
      </c>
      <c r="E7" s="42">
        <v>2020</v>
      </c>
      <c r="F7" s="42" t="s">
        <v>31</v>
      </c>
      <c r="G7" s="10">
        <v>144.30000000000001</v>
      </c>
      <c r="H7" s="10">
        <v>167.4</v>
      </c>
      <c r="I7" s="10">
        <v>154.9</v>
      </c>
      <c r="J7" s="10">
        <v>150.1</v>
      </c>
      <c r="K7" s="10">
        <v>129.9</v>
      </c>
      <c r="L7" s="10">
        <v>143.19999999999999</v>
      </c>
      <c r="M7" s="10">
        <v>197</v>
      </c>
      <c r="N7" s="10">
        <v>140.4</v>
      </c>
      <c r="O7" s="10">
        <v>114.1</v>
      </c>
      <c r="P7" s="10">
        <v>150.9</v>
      </c>
      <c r="Q7" s="10">
        <v>136.1</v>
      </c>
      <c r="R7" s="10">
        <v>158.6</v>
      </c>
      <c r="S7" s="10">
        <v>153.5</v>
      </c>
      <c r="T7" s="10">
        <v>169.2</v>
      </c>
      <c r="U7" s="10">
        <v>150.5</v>
      </c>
      <c r="V7" s="10">
        <v>141.5</v>
      </c>
      <c r="W7" s="10">
        <v>149.19999999999999</v>
      </c>
      <c r="X7" s="10">
        <v>153.9</v>
      </c>
      <c r="Y7" s="10">
        <v>144.6</v>
      </c>
      <c r="Z7" s="10">
        <v>146.19999999999999</v>
      </c>
      <c r="AA7" s="10">
        <v>151.19999999999999</v>
      </c>
      <c r="AB7" s="10">
        <v>130.9</v>
      </c>
      <c r="AC7" s="10">
        <v>142.80000000000001</v>
      </c>
      <c r="AD7" s="10">
        <v>156.1</v>
      </c>
      <c r="AE7" s="10">
        <v>142.30000000000001</v>
      </c>
      <c r="AF7" s="10">
        <v>143.4</v>
      </c>
      <c r="AG7" s="10">
        <v>150.19999999999999</v>
      </c>
      <c r="AL7" t="s">
        <v>49</v>
      </c>
    </row>
    <row r="8" spans="4:42" x14ac:dyDescent="0.35">
      <c r="D8" s="42" t="s">
        <v>34</v>
      </c>
      <c r="E8" s="42">
        <v>2020</v>
      </c>
      <c r="F8" s="42" t="s">
        <v>35</v>
      </c>
      <c r="G8" s="10">
        <v>144.80000000000001</v>
      </c>
      <c r="H8" s="10">
        <v>167.5</v>
      </c>
      <c r="I8" s="10">
        <v>151.80000000000001</v>
      </c>
      <c r="J8" s="10">
        <v>150.80000000000001</v>
      </c>
      <c r="K8" s="10">
        <v>131.4</v>
      </c>
      <c r="L8" s="10">
        <v>141.80000000000001</v>
      </c>
      <c r="M8" s="10">
        <v>170.7</v>
      </c>
      <c r="N8" s="10">
        <v>141.1</v>
      </c>
      <c r="O8" s="10">
        <v>113.6</v>
      </c>
      <c r="P8" s="10">
        <v>152</v>
      </c>
      <c r="Q8" s="10">
        <v>136.5</v>
      </c>
      <c r="R8" s="10">
        <v>159.1</v>
      </c>
      <c r="S8" s="10">
        <v>150.5</v>
      </c>
      <c r="T8" s="10">
        <v>170.1</v>
      </c>
      <c r="U8" s="10">
        <v>150.80000000000001</v>
      </c>
      <c r="V8" s="10">
        <v>141.69999999999999</v>
      </c>
      <c r="W8" s="10">
        <v>149.5</v>
      </c>
      <c r="X8" s="10">
        <v>154.80000000000001</v>
      </c>
      <c r="Y8" s="10">
        <v>147.19999999999999</v>
      </c>
      <c r="Z8" s="10">
        <v>146.4</v>
      </c>
      <c r="AA8" s="10">
        <v>151.69999999999999</v>
      </c>
      <c r="AB8" s="10">
        <v>130.30000000000001</v>
      </c>
      <c r="AC8" s="10">
        <v>143.19999999999999</v>
      </c>
      <c r="AD8" s="10">
        <v>156.19999999999999</v>
      </c>
      <c r="AE8" s="10">
        <v>143.4</v>
      </c>
      <c r="AF8" s="10">
        <v>143.6</v>
      </c>
      <c r="AG8" s="10">
        <v>149.1</v>
      </c>
    </row>
    <row r="9" spans="4:42" x14ac:dyDescent="0.35">
      <c r="D9" s="42" t="s">
        <v>34</v>
      </c>
      <c r="E9" s="42">
        <v>2020</v>
      </c>
      <c r="F9" s="42" t="s">
        <v>36</v>
      </c>
      <c r="G9" s="10">
        <v>145.1</v>
      </c>
      <c r="H9" s="10">
        <v>167</v>
      </c>
      <c r="I9" s="10">
        <v>148.1</v>
      </c>
      <c r="J9" s="10">
        <v>151.5</v>
      </c>
      <c r="K9" s="10">
        <v>131.19999999999999</v>
      </c>
      <c r="L9" s="10">
        <v>142.5</v>
      </c>
      <c r="M9" s="10">
        <v>157.30000000000001</v>
      </c>
      <c r="N9" s="10">
        <v>141.1</v>
      </c>
      <c r="O9" s="10">
        <v>113.2</v>
      </c>
      <c r="P9" s="10">
        <v>153.19999999999999</v>
      </c>
      <c r="Q9" s="10">
        <v>136.69999999999999</v>
      </c>
      <c r="R9" s="10">
        <v>159.6</v>
      </c>
      <c r="S9" s="10">
        <v>148.9</v>
      </c>
      <c r="T9" s="10">
        <v>171.2</v>
      </c>
      <c r="U9" s="10">
        <v>151.19999999999999</v>
      </c>
      <c r="V9" s="10">
        <v>141.9</v>
      </c>
      <c r="W9" s="10">
        <v>149.80000000000001</v>
      </c>
      <c r="X9" s="10">
        <v>154.5</v>
      </c>
      <c r="Y9" s="10">
        <v>148.9</v>
      </c>
      <c r="Z9" s="10">
        <v>146.4</v>
      </c>
      <c r="AA9" s="10">
        <v>152.30000000000001</v>
      </c>
      <c r="AB9" s="10">
        <v>129.9</v>
      </c>
      <c r="AC9" s="10">
        <v>143.69999999999999</v>
      </c>
      <c r="AD9" s="10">
        <v>156.1</v>
      </c>
      <c r="AE9" s="10">
        <v>145.19999999999999</v>
      </c>
      <c r="AF9" s="10">
        <v>143.80000000000001</v>
      </c>
      <c r="AG9" s="10">
        <v>148.6</v>
      </c>
      <c r="AL9" t="s">
        <v>50</v>
      </c>
    </row>
    <row r="10" spans="4:42" x14ac:dyDescent="0.35">
      <c r="D10" s="42" t="s">
        <v>34</v>
      </c>
      <c r="E10" s="42">
        <v>2020</v>
      </c>
      <c r="F10" s="42" t="s">
        <v>37</v>
      </c>
      <c r="G10" s="10">
        <v>148.69999999999999</v>
      </c>
      <c r="H10" s="86">
        <f>$H$9+($H$12-$H$9)*(1/3)</f>
        <v>175.56666666666666</v>
      </c>
      <c r="I10" s="10">
        <v>148.80000000000001</v>
      </c>
      <c r="J10" s="10">
        <v>155.6</v>
      </c>
      <c r="K10" s="10">
        <v>135.1</v>
      </c>
      <c r="L10" s="10">
        <v>149.9</v>
      </c>
      <c r="M10" s="10">
        <v>168.6</v>
      </c>
      <c r="N10" s="10">
        <v>150.4</v>
      </c>
      <c r="O10" s="10">
        <v>120.3</v>
      </c>
      <c r="P10" s="10">
        <v>157.1</v>
      </c>
      <c r="Q10" s="10">
        <v>136.80000000000001</v>
      </c>
      <c r="R10" s="86">
        <f>$R$9+($R$12-$R$9)*(1/3)</f>
        <v>160.33333333333334</v>
      </c>
      <c r="S10" s="10">
        <v>151.4</v>
      </c>
      <c r="T10" s="86">
        <f>T9+(T12-T9)*(1/3)</f>
        <v>175.29999999999998</v>
      </c>
      <c r="U10" s="86">
        <f t="shared" ref="U10:W10" si="0">U9+(U12-U9)*(1/3)</f>
        <v>151.63333333333333</v>
      </c>
      <c r="V10" s="86">
        <f t="shared" si="0"/>
        <v>142.73333333333335</v>
      </c>
      <c r="W10" s="86">
        <f t="shared" si="0"/>
        <v>150.33333333333334</v>
      </c>
      <c r="X10" s="10">
        <v>155.6</v>
      </c>
      <c r="Y10" s="10">
        <v>144.1</v>
      </c>
      <c r="Z10" s="86">
        <f>Z9+(Z12-Z9)*(1/3)</f>
        <v>146.4</v>
      </c>
      <c r="AA10" s="10">
        <v>150.69999999999999</v>
      </c>
      <c r="AB10" s="86">
        <f>AB9+(AB12-AB9)*(1/3)</f>
        <v>131.6</v>
      </c>
      <c r="AC10" s="86">
        <f t="shared" ref="AC10:AF10" si="1">AC9+(AC12-AC9)*(1/3)</f>
        <v>145.23333333333332</v>
      </c>
      <c r="AD10" s="86">
        <f t="shared" si="1"/>
        <v>156.19999999999999</v>
      </c>
      <c r="AE10" s="86">
        <f t="shared" si="1"/>
        <v>147.33333333333331</v>
      </c>
      <c r="AF10" s="86">
        <f t="shared" si="1"/>
        <v>144.86666666666667</v>
      </c>
      <c r="AG10" s="86">
        <f>AG9+(AG12-AG9)*(1/3)</f>
        <v>149.66666666666666</v>
      </c>
    </row>
    <row r="11" spans="4:42" x14ac:dyDescent="0.35">
      <c r="D11" s="42" t="s">
        <v>34</v>
      </c>
      <c r="E11" s="42">
        <v>2020</v>
      </c>
      <c r="F11" s="42" t="s">
        <v>38</v>
      </c>
      <c r="G11" s="86">
        <f>(G10+G12)/2</f>
        <v>149.14999999999998</v>
      </c>
      <c r="H11" s="86">
        <f>$H$9+($H$12-$H$9)*(2/3)</f>
        <v>184.13333333333333</v>
      </c>
      <c r="I11" s="86">
        <f>(I10+I12)/2</f>
        <v>150.10000000000002</v>
      </c>
      <c r="J11" s="86">
        <f t="shared" ref="J11:Q11" si="2">(J10+J12)/2</f>
        <v>154.44999999999999</v>
      </c>
      <c r="K11" s="86">
        <f t="shared" si="2"/>
        <v>135.69999999999999</v>
      </c>
      <c r="L11" s="86">
        <f t="shared" si="2"/>
        <v>148.55000000000001</v>
      </c>
      <c r="M11" s="86">
        <f t="shared" si="2"/>
        <v>162.55000000000001</v>
      </c>
      <c r="N11" s="86">
        <f t="shared" si="2"/>
        <v>150.65</v>
      </c>
      <c r="O11" s="86">
        <f t="shared" si="2"/>
        <v>117.25</v>
      </c>
      <c r="P11" s="86">
        <f t="shared" si="2"/>
        <v>158.30000000000001</v>
      </c>
      <c r="Q11" s="86">
        <f t="shared" si="2"/>
        <v>138.10000000000002</v>
      </c>
      <c r="R11" s="86">
        <f>$R$9+($R$12-$R$9)*(2/3)</f>
        <v>161.06666666666666</v>
      </c>
      <c r="S11" s="86">
        <f>(S10+S12)/2</f>
        <v>152.69999999999999</v>
      </c>
      <c r="T11" s="86">
        <f>T9+(T12-T9)*(2/3)</f>
        <v>179.4</v>
      </c>
      <c r="U11" s="86">
        <f t="shared" ref="U11" si="3">U9+(U12-U9)*(2/3)</f>
        <v>152.06666666666666</v>
      </c>
      <c r="V11" s="86">
        <f>V9+(V12-V9)*(2/3)</f>
        <v>143.56666666666666</v>
      </c>
      <c r="W11" s="86">
        <f>W9+(W12-W9)*(2/3)</f>
        <v>150.86666666666667</v>
      </c>
      <c r="X11" s="86">
        <f>(X10+X12)/2</f>
        <v>155.14999999999998</v>
      </c>
      <c r="Y11" s="86">
        <f t="shared" ref="Y11:AA11" si="4">(Y10+Y12)/2</f>
        <v>143</v>
      </c>
      <c r="Z11" s="86">
        <f>Z9+(Z12-Z9)*(2/3)</f>
        <v>146.4</v>
      </c>
      <c r="AA11" s="86">
        <f t="shared" si="4"/>
        <v>152.55000000000001</v>
      </c>
      <c r="AB11" s="86">
        <f>AB9+(AB12-AB9)*(2/3)</f>
        <v>133.30000000000001</v>
      </c>
      <c r="AC11" s="86">
        <f t="shared" ref="AC11:AG11" si="5">AC9+(AC12-AC9)*(2/3)</f>
        <v>146.76666666666668</v>
      </c>
      <c r="AD11" s="86">
        <f t="shared" si="5"/>
        <v>156.30000000000001</v>
      </c>
      <c r="AE11" s="86">
        <f t="shared" si="5"/>
        <v>149.46666666666667</v>
      </c>
      <c r="AF11" s="86">
        <f t="shared" si="5"/>
        <v>145.93333333333334</v>
      </c>
      <c r="AG11" s="86">
        <f t="shared" si="5"/>
        <v>150.73333333333335</v>
      </c>
      <c r="AL11" t="s">
        <v>54</v>
      </c>
      <c r="AO11" t="s">
        <v>51</v>
      </c>
    </row>
    <row r="12" spans="4:42" x14ac:dyDescent="0.35">
      <c r="D12" s="42" t="s">
        <v>34</v>
      </c>
      <c r="E12" s="42">
        <v>2020</v>
      </c>
      <c r="F12" s="42" t="s">
        <v>39</v>
      </c>
      <c r="G12" s="10">
        <v>149.6</v>
      </c>
      <c r="H12" s="10">
        <v>192.7</v>
      </c>
      <c r="I12" s="10">
        <v>151.4</v>
      </c>
      <c r="J12" s="10">
        <v>153.30000000000001</v>
      </c>
      <c r="K12" s="10">
        <v>136.30000000000001</v>
      </c>
      <c r="L12" s="10">
        <v>147.19999999999999</v>
      </c>
      <c r="M12" s="10">
        <v>156.5</v>
      </c>
      <c r="N12" s="10">
        <v>150.9</v>
      </c>
      <c r="O12" s="10">
        <v>114.2</v>
      </c>
      <c r="P12" s="10">
        <v>159.5</v>
      </c>
      <c r="Q12" s="10">
        <v>139.4</v>
      </c>
      <c r="R12" s="10">
        <v>161.80000000000001</v>
      </c>
      <c r="S12" s="10">
        <v>154</v>
      </c>
      <c r="T12" s="10">
        <v>183.5</v>
      </c>
      <c r="U12" s="10">
        <v>152.5</v>
      </c>
      <c r="V12" s="10">
        <v>144.4</v>
      </c>
      <c r="W12" s="10">
        <v>151.4</v>
      </c>
      <c r="X12" s="10">
        <v>154.69999999999999</v>
      </c>
      <c r="Y12" s="10">
        <v>141.9</v>
      </c>
      <c r="Z12" s="10">
        <v>146.4</v>
      </c>
      <c r="AA12" s="10">
        <v>154.4</v>
      </c>
      <c r="AB12" s="10">
        <v>135</v>
      </c>
      <c r="AC12" s="10">
        <v>148.30000000000001</v>
      </c>
      <c r="AD12" s="10">
        <v>156.4</v>
      </c>
      <c r="AE12" s="10">
        <v>151.6</v>
      </c>
      <c r="AF12" s="10">
        <v>147</v>
      </c>
      <c r="AG12" s="10">
        <v>151.80000000000001</v>
      </c>
      <c r="AP12" t="s">
        <v>52</v>
      </c>
    </row>
    <row r="13" spans="4:42" x14ac:dyDescent="0.35">
      <c r="D13" s="42" t="s">
        <v>34</v>
      </c>
      <c r="E13" s="42">
        <v>2020</v>
      </c>
      <c r="F13" s="42" t="s">
        <v>40</v>
      </c>
      <c r="G13" s="10">
        <v>149.6</v>
      </c>
      <c r="H13" s="10">
        <v>192.7</v>
      </c>
      <c r="I13" s="10">
        <v>151.4</v>
      </c>
      <c r="J13" s="10">
        <v>153.30000000000001</v>
      </c>
      <c r="K13" s="10">
        <v>136.30000000000001</v>
      </c>
      <c r="L13" s="10">
        <v>147.19999999999999</v>
      </c>
      <c r="M13" s="10">
        <v>156.5</v>
      </c>
      <c r="N13" s="10">
        <v>150.9</v>
      </c>
      <c r="O13" s="10">
        <v>114.2</v>
      </c>
      <c r="P13" s="10">
        <v>159.5</v>
      </c>
      <c r="Q13" s="10">
        <v>139.4</v>
      </c>
      <c r="R13" s="10">
        <v>161.80000000000001</v>
      </c>
      <c r="S13" s="10">
        <v>154</v>
      </c>
      <c r="T13" s="10">
        <v>183.5</v>
      </c>
      <c r="U13" s="10">
        <v>152.5</v>
      </c>
      <c r="V13" s="10">
        <v>144.4</v>
      </c>
      <c r="W13" s="10">
        <v>151.4</v>
      </c>
      <c r="X13" s="10">
        <v>154.69999999999999</v>
      </c>
      <c r="Y13" s="10">
        <v>141.9</v>
      </c>
      <c r="Z13" s="10">
        <v>146.4</v>
      </c>
      <c r="AA13" s="10">
        <v>154.4</v>
      </c>
      <c r="AB13" s="10">
        <v>135</v>
      </c>
      <c r="AC13" s="10">
        <v>148.30000000000001</v>
      </c>
      <c r="AD13" s="10">
        <v>156.4</v>
      </c>
      <c r="AE13" s="10">
        <v>151.6</v>
      </c>
      <c r="AF13" s="10">
        <v>147</v>
      </c>
      <c r="AG13" s="10">
        <v>151.80000000000001</v>
      </c>
    </row>
    <row r="14" spans="4:42" x14ac:dyDescent="0.35">
      <c r="D14" s="42" t="s">
        <v>34</v>
      </c>
      <c r="E14" s="42">
        <v>2020</v>
      </c>
      <c r="F14" s="42" t="s">
        <v>41</v>
      </c>
      <c r="G14" s="10">
        <v>148.9</v>
      </c>
      <c r="H14" s="10">
        <v>190.9</v>
      </c>
      <c r="I14" s="10">
        <v>150.80000000000001</v>
      </c>
      <c r="J14" s="10">
        <v>153.30000000000001</v>
      </c>
      <c r="K14" s="10">
        <v>137.4</v>
      </c>
      <c r="L14" s="10">
        <v>150.4</v>
      </c>
      <c r="M14" s="10">
        <v>178.1</v>
      </c>
      <c r="N14" s="10">
        <v>150.4</v>
      </c>
      <c r="O14" s="10">
        <v>115.1</v>
      </c>
      <c r="P14" s="10">
        <v>160</v>
      </c>
      <c r="Q14" s="10">
        <v>140.6</v>
      </c>
      <c r="R14" s="10">
        <v>162.30000000000001</v>
      </c>
      <c r="S14" s="10">
        <v>157</v>
      </c>
      <c r="T14" s="10">
        <v>182.6</v>
      </c>
      <c r="U14" s="10">
        <v>153.1</v>
      </c>
      <c r="V14" s="10">
        <v>143.4</v>
      </c>
      <c r="W14" s="10">
        <v>151.69999999999999</v>
      </c>
      <c r="X14" s="10">
        <v>155.5</v>
      </c>
      <c r="Y14" s="10">
        <v>143</v>
      </c>
      <c r="Z14" s="10">
        <v>148.4</v>
      </c>
      <c r="AA14" s="10">
        <v>155</v>
      </c>
      <c r="AB14" s="10">
        <v>138.5</v>
      </c>
      <c r="AC14" s="10">
        <v>146</v>
      </c>
      <c r="AD14" s="10">
        <v>158.5</v>
      </c>
      <c r="AE14" s="10">
        <v>154.30000000000001</v>
      </c>
      <c r="AF14" s="10">
        <v>149</v>
      </c>
      <c r="AG14" s="10">
        <v>153.9</v>
      </c>
      <c r="AO14" t="s">
        <v>53</v>
      </c>
    </row>
    <row r="15" spans="4:42" x14ac:dyDescent="0.35">
      <c r="D15" s="42" t="s">
        <v>34</v>
      </c>
      <c r="E15" s="42">
        <v>2020</v>
      </c>
      <c r="F15" s="42" t="s">
        <v>42</v>
      </c>
      <c r="G15" s="10">
        <v>148.4</v>
      </c>
      <c r="H15" s="10">
        <v>187.1</v>
      </c>
      <c r="I15" s="10">
        <v>152.5</v>
      </c>
      <c r="J15" s="10">
        <v>153.6</v>
      </c>
      <c r="K15" s="10">
        <v>138.19999999999999</v>
      </c>
      <c r="L15" s="10">
        <v>150.9</v>
      </c>
      <c r="M15" s="10">
        <v>186.7</v>
      </c>
      <c r="N15" s="10">
        <v>149.80000000000001</v>
      </c>
      <c r="O15" s="10">
        <v>116.4</v>
      </c>
      <c r="P15" s="10">
        <v>160.30000000000001</v>
      </c>
      <c r="Q15" s="10">
        <v>142.19999999999999</v>
      </c>
      <c r="R15" s="10">
        <v>162.9</v>
      </c>
      <c r="S15" s="10">
        <v>158</v>
      </c>
      <c r="T15" s="10">
        <v>184.4</v>
      </c>
      <c r="U15" s="10">
        <v>153.4</v>
      </c>
      <c r="V15" s="10">
        <v>144.30000000000001</v>
      </c>
      <c r="W15" s="10">
        <v>152</v>
      </c>
      <c r="X15" s="10">
        <v>156.30000000000001</v>
      </c>
      <c r="Y15" s="10">
        <v>142.9</v>
      </c>
      <c r="Z15" s="10">
        <v>148.69999999999999</v>
      </c>
      <c r="AA15" s="10">
        <v>155.6</v>
      </c>
      <c r="AB15" s="10">
        <v>139.6</v>
      </c>
      <c r="AC15" s="10">
        <v>146.6</v>
      </c>
      <c r="AD15" s="10">
        <v>157.5</v>
      </c>
      <c r="AE15" s="10">
        <v>158.4</v>
      </c>
      <c r="AF15" s="10">
        <v>150</v>
      </c>
      <c r="AG15" s="10">
        <v>154.69999999999999</v>
      </c>
    </row>
    <row r="16" spans="4:42" x14ac:dyDescent="0.35">
      <c r="D16" s="42" t="s">
        <v>34</v>
      </c>
      <c r="E16" s="42">
        <v>2020</v>
      </c>
      <c r="F16" s="42" t="s">
        <v>43</v>
      </c>
      <c r="G16" s="10">
        <v>147.5</v>
      </c>
      <c r="H16" s="10">
        <v>188.9</v>
      </c>
      <c r="I16" s="10">
        <v>161.4</v>
      </c>
      <c r="J16" s="10">
        <v>153.6</v>
      </c>
      <c r="K16" s="10">
        <v>140.1</v>
      </c>
      <c r="L16" s="10">
        <v>151.19999999999999</v>
      </c>
      <c r="M16" s="10">
        <v>209.2</v>
      </c>
      <c r="N16" s="10">
        <v>150.9</v>
      </c>
      <c r="O16" s="10">
        <v>116.2</v>
      </c>
      <c r="P16" s="10">
        <v>161</v>
      </c>
      <c r="Q16" s="10">
        <v>144</v>
      </c>
      <c r="R16" s="10">
        <v>163.19999999999999</v>
      </c>
      <c r="S16" s="10">
        <v>161.4</v>
      </c>
      <c r="T16" s="10">
        <v>184.3</v>
      </c>
      <c r="U16" s="10">
        <v>153.69999999999999</v>
      </c>
      <c r="V16" s="10">
        <v>144.6</v>
      </c>
      <c r="W16" s="10">
        <v>152.30000000000001</v>
      </c>
      <c r="X16" s="10">
        <v>156.5</v>
      </c>
      <c r="Y16" s="10">
        <v>143.1</v>
      </c>
      <c r="Z16" s="10">
        <v>148.69999999999999</v>
      </c>
      <c r="AA16" s="10">
        <v>156.30000000000001</v>
      </c>
      <c r="AB16" s="10">
        <v>140.6</v>
      </c>
      <c r="AC16" s="10">
        <v>146.5</v>
      </c>
      <c r="AD16" s="10">
        <v>158.5</v>
      </c>
      <c r="AE16" s="10">
        <v>157</v>
      </c>
      <c r="AF16" s="10">
        <v>150.4</v>
      </c>
      <c r="AG16" s="10">
        <v>156.4</v>
      </c>
    </row>
    <row r="17" spans="4:33" x14ac:dyDescent="0.35">
      <c r="D17" s="42" t="s">
        <v>34</v>
      </c>
      <c r="E17" s="42">
        <v>2020</v>
      </c>
      <c r="F17" s="42" t="s">
        <v>45</v>
      </c>
      <c r="G17" s="10">
        <v>146.80000000000001</v>
      </c>
      <c r="H17" s="10">
        <v>191</v>
      </c>
      <c r="I17" s="10">
        <v>173.6</v>
      </c>
      <c r="J17" s="10">
        <v>153.80000000000001</v>
      </c>
      <c r="K17" s="10">
        <v>142.69999999999999</v>
      </c>
      <c r="L17" s="10">
        <v>148.4</v>
      </c>
      <c r="M17" s="10">
        <v>230</v>
      </c>
      <c r="N17" s="10">
        <v>156.80000000000001</v>
      </c>
      <c r="O17" s="10">
        <v>115.7</v>
      </c>
      <c r="P17" s="10">
        <v>161.80000000000001</v>
      </c>
      <c r="Q17" s="10">
        <v>146.5</v>
      </c>
      <c r="R17" s="10">
        <v>163.80000000000001</v>
      </c>
      <c r="S17" s="10">
        <v>164.7</v>
      </c>
      <c r="T17" s="10">
        <v>184.8</v>
      </c>
      <c r="U17" s="10">
        <v>154.30000000000001</v>
      </c>
      <c r="V17" s="10">
        <v>144.9</v>
      </c>
      <c r="W17" s="10">
        <v>152.80000000000001</v>
      </c>
      <c r="X17" s="10">
        <v>158</v>
      </c>
      <c r="Y17" s="10">
        <v>143.6</v>
      </c>
      <c r="Z17" s="10">
        <v>149.19999999999999</v>
      </c>
      <c r="AA17" s="10">
        <v>157.19999999999999</v>
      </c>
      <c r="AB17" s="10">
        <v>140.4</v>
      </c>
      <c r="AC17" s="10">
        <v>148.4</v>
      </c>
      <c r="AD17" s="10">
        <v>158.6</v>
      </c>
      <c r="AE17" s="10">
        <v>156.9</v>
      </c>
      <c r="AF17" s="10">
        <v>150.69999999999999</v>
      </c>
      <c r="AG17" s="10">
        <v>158.4</v>
      </c>
    </row>
    <row r="18" spans="4:33" x14ac:dyDescent="0.35">
      <c r="D18" s="42" t="s">
        <v>34</v>
      </c>
      <c r="E18" s="42">
        <v>2020</v>
      </c>
      <c r="F18" s="42" t="s">
        <v>46</v>
      </c>
      <c r="G18" s="10">
        <v>146</v>
      </c>
      <c r="H18" s="10">
        <v>191</v>
      </c>
      <c r="I18" s="10">
        <v>175.3</v>
      </c>
      <c r="J18" s="10">
        <v>154.1</v>
      </c>
      <c r="K18" s="10">
        <v>146.6</v>
      </c>
      <c r="L18" s="10">
        <v>147.69999999999999</v>
      </c>
      <c r="M18" s="10">
        <v>230.5</v>
      </c>
      <c r="N18" s="10">
        <v>160.19999999999999</v>
      </c>
      <c r="O18" s="10">
        <v>115.3</v>
      </c>
      <c r="P18" s="10">
        <v>163</v>
      </c>
      <c r="Q18" s="10">
        <v>149.19999999999999</v>
      </c>
      <c r="R18" s="10">
        <v>164.8</v>
      </c>
      <c r="S18" s="10">
        <v>165.4</v>
      </c>
      <c r="T18" s="10">
        <v>185.4</v>
      </c>
      <c r="U18" s="10">
        <v>155</v>
      </c>
      <c r="V18" s="10">
        <v>145.4</v>
      </c>
      <c r="W18" s="10">
        <v>153.6</v>
      </c>
      <c r="X18" s="10">
        <v>158.4</v>
      </c>
      <c r="Y18" s="10">
        <v>144.6</v>
      </c>
      <c r="Z18" s="10">
        <v>149.69999999999999</v>
      </c>
      <c r="AA18" s="10">
        <v>158.30000000000001</v>
      </c>
      <c r="AB18" s="10">
        <v>140.69999999999999</v>
      </c>
      <c r="AC18" s="10">
        <v>148.5</v>
      </c>
      <c r="AD18" s="10">
        <v>159.4</v>
      </c>
      <c r="AE18" s="10">
        <v>157.1</v>
      </c>
      <c r="AF18" s="10">
        <v>151.19999999999999</v>
      </c>
      <c r="AG18" s="10">
        <v>158.9</v>
      </c>
    </row>
    <row r="19" spans="4:33" x14ac:dyDescent="0.35">
      <c r="D19" s="1"/>
      <c r="E19" s="1"/>
      <c r="F19" s="1"/>
    </row>
    <row r="20" spans="4:33" x14ac:dyDescent="0.35">
      <c r="D20" s="1"/>
      <c r="E20" s="1"/>
      <c r="F20" s="1"/>
    </row>
    <row r="21" spans="4:33" x14ac:dyDescent="0.35">
      <c r="D21" s="1"/>
      <c r="E21" s="1"/>
      <c r="F21" s="1"/>
    </row>
    <row r="22" spans="4:33" x14ac:dyDescent="0.35">
      <c r="D22" s="1"/>
      <c r="E22" s="1"/>
      <c r="F22" s="1"/>
    </row>
    <row r="23" spans="4:33" x14ac:dyDescent="0.35">
      <c r="D23" s="1"/>
      <c r="E23" s="1"/>
      <c r="F23" s="1"/>
    </row>
    <row r="24" spans="4:33" x14ac:dyDescent="0.35">
      <c r="D24" s="42" t="s">
        <v>30</v>
      </c>
      <c r="E24" s="42">
        <v>2020</v>
      </c>
      <c r="F24" s="42" t="s">
        <v>31</v>
      </c>
      <c r="G24" s="10">
        <v>143.69999999999999</v>
      </c>
      <c r="H24" s="10">
        <v>167.3</v>
      </c>
      <c r="I24" s="10">
        <v>153.5</v>
      </c>
      <c r="J24" s="10">
        <v>150.5</v>
      </c>
      <c r="K24" s="10">
        <v>132</v>
      </c>
      <c r="L24" s="10">
        <v>142.19999999999999</v>
      </c>
      <c r="M24" s="10">
        <v>191.5</v>
      </c>
      <c r="N24" s="10">
        <v>141.1</v>
      </c>
      <c r="O24" s="10">
        <v>113.8</v>
      </c>
      <c r="P24" s="10">
        <v>151.6</v>
      </c>
      <c r="Q24" s="10">
        <v>139.69999999999999</v>
      </c>
      <c r="R24" s="10">
        <v>158.69999999999999</v>
      </c>
      <c r="S24" s="10">
        <v>153</v>
      </c>
      <c r="T24" s="10">
        <v>168.6</v>
      </c>
      <c r="U24" s="10">
        <v>152.80000000000001</v>
      </c>
      <c r="V24" s="10">
        <v>147.4</v>
      </c>
      <c r="W24" s="10">
        <v>152.1</v>
      </c>
      <c r="X24" s="10" t="s">
        <v>32</v>
      </c>
      <c r="Y24" s="10">
        <v>150.4</v>
      </c>
      <c r="Z24" s="10">
        <v>151.69999999999999</v>
      </c>
      <c r="AA24" s="10">
        <v>155.69999999999999</v>
      </c>
      <c r="AB24" s="10">
        <v>136.30000000000001</v>
      </c>
      <c r="AC24" s="10">
        <v>150.1</v>
      </c>
      <c r="AD24" s="10">
        <v>161.69999999999999</v>
      </c>
      <c r="AE24" s="10">
        <v>142.5</v>
      </c>
      <c r="AF24" s="10">
        <v>148.1</v>
      </c>
      <c r="AG24" s="10">
        <v>151.9</v>
      </c>
    </row>
    <row r="25" spans="4:33" x14ac:dyDescent="0.35">
      <c r="D25" s="42" t="s">
        <v>30</v>
      </c>
      <c r="E25" s="42">
        <v>2020</v>
      </c>
      <c r="F25" s="42" t="s">
        <v>35</v>
      </c>
      <c r="G25" s="10">
        <v>144.19999999999999</v>
      </c>
      <c r="H25" s="10">
        <v>167.5</v>
      </c>
      <c r="I25" s="10">
        <v>150.9</v>
      </c>
      <c r="J25" s="10">
        <v>150.9</v>
      </c>
      <c r="K25" s="10">
        <v>133.69999999999999</v>
      </c>
      <c r="L25" s="10">
        <v>140.69999999999999</v>
      </c>
      <c r="M25" s="10">
        <v>165.1</v>
      </c>
      <c r="N25" s="10">
        <v>141.80000000000001</v>
      </c>
      <c r="O25" s="10">
        <v>113.1</v>
      </c>
      <c r="P25" s="10">
        <v>152.80000000000001</v>
      </c>
      <c r="Q25" s="10">
        <v>140.1</v>
      </c>
      <c r="R25" s="10">
        <v>159.19999999999999</v>
      </c>
      <c r="S25" s="10">
        <v>149.80000000000001</v>
      </c>
      <c r="T25" s="10">
        <v>169.4</v>
      </c>
      <c r="U25" s="10">
        <v>153</v>
      </c>
      <c r="V25" s="10">
        <v>147.5</v>
      </c>
      <c r="W25" s="10">
        <v>152.30000000000001</v>
      </c>
      <c r="X25" s="10" t="s">
        <v>32</v>
      </c>
      <c r="Y25" s="10">
        <v>152.30000000000001</v>
      </c>
      <c r="Z25" s="10">
        <v>151.80000000000001</v>
      </c>
      <c r="AA25" s="10">
        <v>156.19999999999999</v>
      </c>
      <c r="AB25" s="10">
        <v>136</v>
      </c>
      <c r="AC25" s="10">
        <v>150.4</v>
      </c>
      <c r="AD25" s="10">
        <v>161.9</v>
      </c>
      <c r="AE25" s="10">
        <v>143.4</v>
      </c>
      <c r="AF25" s="10">
        <v>148.4</v>
      </c>
      <c r="AG25" s="10">
        <v>150.4</v>
      </c>
    </row>
    <row r="26" spans="4:33" x14ac:dyDescent="0.35">
      <c r="D26" s="42" t="s">
        <v>30</v>
      </c>
      <c r="E26" s="42">
        <v>2020</v>
      </c>
      <c r="F26" s="42" t="s">
        <v>36</v>
      </c>
      <c r="G26" s="10">
        <v>144.4</v>
      </c>
      <c r="H26" s="10">
        <v>166.8</v>
      </c>
      <c r="I26" s="10">
        <v>147.6</v>
      </c>
      <c r="J26" s="10">
        <v>151.69999999999999</v>
      </c>
      <c r="K26" s="10">
        <v>133.30000000000001</v>
      </c>
      <c r="L26" s="10">
        <v>141.80000000000001</v>
      </c>
      <c r="M26" s="10">
        <v>152.30000000000001</v>
      </c>
      <c r="N26" s="10">
        <v>141.80000000000001</v>
      </c>
      <c r="O26" s="10">
        <v>112.6</v>
      </c>
      <c r="P26" s="10">
        <v>154</v>
      </c>
      <c r="Q26" s="10">
        <v>140.1</v>
      </c>
      <c r="R26" s="10">
        <v>160</v>
      </c>
      <c r="S26" s="10">
        <v>148.19999999999999</v>
      </c>
      <c r="T26" s="10">
        <v>170.5</v>
      </c>
      <c r="U26" s="10">
        <v>153.4</v>
      </c>
      <c r="V26" s="10">
        <v>147.6</v>
      </c>
      <c r="W26" s="10">
        <v>152.5</v>
      </c>
      <c r="X26" s="10" t="s">
        <v>32</v>
      </c>
      <c r="Y26" s="10">
        <v>153.4</v>
      </c>
      <c r="Z26" s="10">
        <v>151.5</v>
      </c>
      <c r="AA26" s="10">
        <v>156.69999999999999</v>
      </c>
      <c r="AB26" s="10">
        <v>135.80000000000001</v>
      </c>
      <c r="AC26" s="10">
        <v>151.19999999999999</v>
      </c>
      <c r="AD26" s="10">
        <v>161.19999999999999</v>
      </c>
      <c r="AE26" s="10">
        <v>145.1</v>
      </c>
      <c r="AF26" s="10">
        <v>148.6</v>
      </c>
      <c r="AG26" s="10">
        <v>149.80000000000001</v>
      </c>
    </row>
    <row r="27" spans="4:33" x14ac:dyDescent="0.35">
      <c r="D27" s="42" t="s">
        <v>30</v>
      </c>
      <c r="E27" s="42">
        <v>2020</v>
      </c>
      <c r="F27" s="42" t="s">
        <v>37</v>
      </c>
      <c r="G27" s="10">
        <v>147.19999999999999</v>
      </c>
      <c r="H27" s="86">
        <f xml:space="preserve"> H26+(H29-H26)*(1/3)</f>
        <v>174.63333333333335</v>
      </c>
      <c r="I27" s="10">
        <v>146.9</v>
      </c>
      <c r="J27" s="10">
        <v>155.6</v>
      </c>
      <c r="K27" s="10">
        <v>137.1</v>
      </c>
      <c r="L27" s="10">
        <v>147.30000000000001</v>
      </c>
      <c r="M27" s="10">
        <v>162.69999999999999</v>
      </c>
      <c r="N27" s="10">
        <v>150.19999999999999</v>
      </c>
      <c r="O27" s="10">
        <v>119.8</v>
      </c>
      <c r="P27" s="10">
        <v>158.69999999999999</v>
      </c>
      <c r="Q27" s="10">
        <v>139.19999999999999</v>
      </c>
      <c r="R27" s="86">
        <f xml:space="preserve"> R26 +(R29-R26)*(1/3)</f>
        <v>160.6</v>
      </c>
      <c r="S27" s="10">
        <v>150.1</v>
      </c>
      <c r="T27" s="86">
        <f xml:space="preserve"> T26 +(T29-T26)*(1/3)</f>
        <v>174.46666666666667</v>
      </c>
      <c r="U27" s="86">
        <f t="shared" ref="U27:W27" si="6" xml:space="preserve"> U26 +(U29-U26)*(1/3)</f>
        <v>153.83333333333334</v>
      </c>
      <c r="V27" s="86">
        <f t="shared" si="6"/>
        <v>148.4</v>
      </c>
      <c r="W27" s="86">
        <f t="shared" si="6"/>
        <v>153.03333333333333</v>
      </c>
      <c r="X27" s="10" t="s">
        <v>32</v>
      </c>
      <c r="Y27" s="10">
        <v>148.4</v>
      </c>
      <c r="Z27" s="86">
        <f>Z26+(Z29-Z26)*(1/3)</f>
        <v>151.56666666666666</v>
      </c>
      <c r="AA27" s="10">
        <v>154.30000000000001</v>
      </c>
      <c r="AB27" s="86">
        <f xml:space="preserve"> AB26+ (AB29-AB26)*(1/3)</f>
        <v>137.66666666666669</v>
      </c>
      <c r="AC27" s="86">
        <f t="shared" ref="AC27:AG27" si="7" xml:space="preserve"> AC26+ (AC29-AC26)*(1/3)</f>
        <v>151.86666666666665</v>
      </c>
      <c r="AD27" s="86">
        <f t="shared" si="7"/>
        <v>161.4</v>
      </c>
      <c r="AE27" s="86">
        <f t="shared" si="7"/>
        <v>147.13333333333333</v>
      </c>
      <c r="AF27" s="86">
        <f t="shared" si="7"/>
        <v>149.63333333333333</v>
      </c>
      <c r="AG27" s="86">
        <f t="shared" si="7"/>
        <v>150.76666666666668</v>
      </c>
    </row>
    <row r="28" spans="4:33" x14ac:dyDescent="0.35">
      <c r="D28" s="42" t="s">
        <v>30</v>
      </c>
      <c r="E28" s="42">
        <v>2020</v>
      </c>
      <c r="F28" s="42" t="s">
        <v>38</v>
      </c>
      <c r="G28" s="86">
        <f>(G27+G29)/2</f>
        <v>147.69999999999999</v>
      </c>
      <c r="H28" s="86">
        <f xml:space="preserve"> H26+(H29-H26)*(2/3)</f>
        <v>182.46666666666667</v>
      </c>
      <c r="I28" s="86">
        <f>(I27+I29)/2</f>
        <v>148.15</v>
      </c>
      <c r="J28" s="86">
        <f t="shared" ref="J28:AA28" si="8">(J27+J29)/2</f>
        <v>154.44999999999999</v>
      </c>
      <c r="K28" s="86">
        <f t="shared" si="8"/>
        <v>137.64999999999998</v>
      </c>
      <c r="L28" s="86">
        <f t="shared" si="8"/>
        <v>145.25</v>
      </c>
      <c r="M28" s="86">
        <f t="shared" si="8"/>
        <v>155.80000000000001</v>
      </c>
      <c r="N28" s="86">
        <f t="shared" si="8"/>
        <v>150.25</v>
      </c>
      <c r="O28" s="86">
        <f t="shared" si="8"/>
        <v>116.5</v>
      </c>
      <c r="P28" s="86">
        <f t="shared" si="8"/>
        <v>159.25</v>
      </c>
      <c r="Q28" s="86">
        <f t="shared" si="8"/>
        <v>140.64999999999998</v>
      </c>
      <c r="R28" s="86">
        <f xml:space="preserve"> R26 +(R29-R26)*(2/3)</f>
        <v>161.20000000000002</v>
      </c>
      <c r="S28" s="86">
        <f t="shared" si="8"/>
        <v>151.19999999999999</v>
      </c>
      <c r="T28" s="86">
        <f xml:space="preserve"> T26 +(T29-T26)*(2/3)</f>
        <v>178.43333333333334</v>
      </c>
      <c r="U28" s="86">
        <f xml:space="preserve"> U26 +(U29-U26)*(2/3)</f>
        <v>154.26666666666665</v>
      </c>
      <c r="V28" s="86">
        <f t="shared" ref="V28:W28" si="9" xml:space="preserve"> V26 +(V29-V26)*(2/3)</f>
        <v>149.19999999999999</v>
      </c>
      <c r="W28" s="86">
        <f t="shared" si="9"/>
        <v>153.56666666666666</v>
      </c>
      <c r="X28" s="10" t="s">
        <v>32</v>
      </c>
      <c r="Y28" s="86">
        <f t="shared" si="8"/>
        <v>146.65</v>
      </c>
      <c r="Z28" s="86">
        <f>Z26+(Z29-Z26)*(2/3)</f>
        <v>151.63333333333333</v>
      </c>
      <c r="AA28" s="86">
        <f t="shared" si="8"/>
        <v>156.25</v>
      </c>
      <c r="AB28" s="86">
        <f xml:space="preserve"> AB26+ (AB29-AB26)*(2/3)</f>
        <v>139.53333333333333</v>
      </c>
      <c r="AC28" s="86">
        <f xml:space="preserve"> AC26+ (AC29-AC26)*(2/3)</f>
        <v>152.53333333333333</v>
      </c>
      <c r="AD28" s="86">
        <f xml:space="preserve"> AD26+ (AD29-AD26)*(2/3)</f>
        <v>161.6</v>
      </c>
      <c r="AE28" s="86">
        <f t="shared" ref="AE28:AG28" si="10" xml:space="preserve"> AE26+ (AE29-AE26)*(2/3)</f>
        <v>149.16666666666666</v>
      </c>
      <c r="AF28" s="86">
        <f t="shared" si="10"/>
        <v>150.66666666666666</v>
      </c>
      <c r="AG28" s="86">
        <f t="shared" si="10"/>
        <v>151.73333333333332</v>
      </c>
    </row>
    <row r="29" spans="4:33" x14ac:dyDescent="0.35">
      <c r="D29" s="42" t="s">
        <v>30</v>
      </c>
      <c r="E29" s="42">
        <v>2020</v>
      </c>
      <c r="F29" s="42" t="s">
        <v>39</v>
      </c>
      <c r="G29" s="10">
        <v>148.19999999999999</v>
      </c>
      <c r="H29" s="10">
        <v>190.3</v>
      </c>
      <c r="I29" s="10">
        <v>149.4</v>
      </c>
      <c r="J29" s="10">
        <v>153.30000000000001</v>
      </c>
      <c r="K29" s="10">
        <v>138.19999999999999</v>
      </c>
      <c r="L29" s="10">
        <v>143.19999999999999</v>
      </c>
      <c r="M29" s="10">
        <v>148.9</v>
      </c>
      <c r="N29" s="10">
        <v>150.30000000000001</v>
      </c>
      <c r="O29" s="10">
        <v>113.2</v>
      </c>
      <c r="P29" s="10">
        <v>159.80000000000001</v>
      </c>
      <c r="Q29" s="10">
        <v>142.1</v>
      </c>
      <c r="R29" s="10">
        <v>161.80000000000001</v>
      </c>
      <c r="S29" s="10">
        <v>152.30000000000001</v>
      </c>
      <c r="T29" s="10">
        <v>182.4</v>
      </c>
      <c r="U29" s="10">
        <v>154.69999999999999</v>
      </c>
      <c r="V29" s="10">
        <v>150</v>
      </c>
      <c r="W29" s="10">
        <v>154.1</v>
      </c>
      <c r="X29" s="10" t="s">
        <v>32</v>
      </c>
      <c r="Y29" s="10">
        <v>144.9</v>
      </c>
      <c r="Z29" s="10">
        <v>151.69999999999999</v>
      </c>
      <c r="AA29" s="10">
        <v>158.19999999999999</v>
      </c>
      <c r="AB29" s="10">
        <v>141.4</v>
      </c>
      <c r="AC29" s="10">
        <v>153.19999999999999</v>
      </c>
      <c r="AD29" s="10">
        <v>161.80000000000001</v>
      </c>
      <c r="AE29" s="10">
        <v>151.19999999999999</v>
      </c>
      <c r="AF29" s="10">
        <v>151.69999999999999</v>
      </c>
      <c r="AG29" s="10">
        <v>152.69999999999999</v>
      </c>
    </row>
    <row r="30" spans="4:33" x14ac:dyDescent="0.35">
      <c r="D30" s="42" t="s">
        <v>30</v>
      </c>
      <c r="E30" s="42">
        <v>2020</v>
      </c>
      <c r="F30" s="42" t="s">
        <v>40</v>
      </c>
      <c r="G30" s="10">
        <v>148.19999999999999</v>
      </c>
      <c r="H30" s="10">
        <v>190.3</v>
      </c>
      <c r="I30" s="10">
        <v>149.4</v>
      </c>
      <c r="J30" s="10">
        <v>153.30000000000001</v>
      </c>
      <c r="K30" s="10">
        <v>138.19999999999999</v>
      </c>
      <c r="L30" s="10">
        <v>143.19999999999999</v>
      </c>
      <c r="M30" s="10">
        <v>148.9</v>
      </c>
      <c r="N30" s="10">
        <v>150.30000000000001</v>
      </c>
      <c r="O30" s="10">
        <v>113.2</v>
      </c>
      <c r="P30" s="10">
        <v>159.80000000000001</v>
      </c>
      <c r="Q30" s="10">
        <v>142.1</v>
      </c>
      <c r="R30" s="10">
        <v>161.80000000000001</v>
      </c>
      <c r="S30" s="10">
        <v>152.30000000000001</v>
      </c>
      <c r="T30" s="10">
        <v>182.4</v>
      </c>
      <c r="U30" s="10">
        <v>154.69999999999999</v>
      </c>
      <c r="V30" s="10">
        <v>150</v>
      </c>
      <c r="W30" s="10">
        <v>154.1</v>
      </c>
      <c r="X30" s="10" t="s">
        <v>32</v>
      </c>
      <c r="Y30" s="10">
        <v>144.9</v>
      </c>
      <c r="Z30" s="10">
        <v>151.69999999999999</v>
      </c>
      <c r="AA30" s="10">
        <v>158.19999999999999</v>
      </c>
      <c r="AB30" s="10">
        <v>141.4</v>
      </c>
      <c r="AC30" s="10">
        <v>153.19999999999999</v>
      </c>
      <c r="AD30" s="10">
        <v>161.80000000000001</v>
      </c>
      <c r="AE30" s="10">
        <v>151.19999999999999</v>
      </c>
      <c r="AF30" s="10">
        <v>151.69999999999999</v>
      </c>
      <c r="AG30" s="10">
        <v>152.69999999999999</v>
      </c>
    </row>
    <row r="31" spans="4:33" x14ac:dyDescent="0.35">
      <c r="D31" s="42" t="s">
        <v>30</v>
      </c>
      <c r="E31" s="42">
        <v>2020</v>
      </c>
      <c r="F31" s="42" t="s">
        <v>41</v>
      </c>
      <c r="G31" s="10">
        <v>147.6</v>
      </c>
      <c r="H31" s="10">
        <v>187.2</v>
      </c>
      <c r="I31" s="10">
        <v>148.4</v>
      </c>
      <c r="J31" s="10">
        <v>153.30000000000001</v>
      </c>
      <c r="K31" s="10">
        <v>139.80000000000001</v>
      </c>
      <c r="L31" s="10">
        <v>146.9</v>
      </c>
      <c r="M31" s="10">
        <v>171</v>
      </c>
      <c r="N31" s="10">
        <v>149.9</v>
      </c>
      <c r="O31" s="10">
        <v>114.2</v>
      </c>
      <c r="P31" s="10">
        <v>160</v>
      </c>
      <c r="Q31" s="10">
        <v>143.5</v>
      </c>
      <c r="R31" s="10">
        <v>161.5</v>
      </c>
      <c r="S31" s="10">
        <v>155.30000000000001</v>
      </c>
      <c r="T31" s="10">
        <v>180.9</v>
      </c>
      <c r="U31" s="10">
        <v>155.1</v>
      </c>
      <c r="V31" s="10">
        <v>149.30000000000001</v>
      </c>
      <c r="W31" s="10">
        <v>154.30000000000001</v>
      </c>
      <c r="X31" s="10" t="s">
        <v>32</v>
      </c>
      <c r="Y31" s="10">
        <v>145.80000000000001</v>
      </c>
      <c r="Z31" s="10">
        <v>151.9</v>
      </c>
      <c r="AA31" s="10">
        <v>158.80000000000001</v>
      </c>
      <c r="AB31" s="10">
        <v>143.6</v>
      </c>
      <c r="AC31" s="10">
        <v>152.19999999999999</v>
      </c>
      <c r="AD31" s="10">
        <v>162.69999999999999</v>
      </c>
      <c r="AE31" s="10">
        <v>153.6</v>
      </c>
      <c r="AF31" s="10">
        <v>153</v>
      </c>
      <c r="AG31" s="10">
        <v>154.69999999999999</v>
      </c>
    </row>
    <row r="32" spans="4:33" x14ac:dyDescent="0.35">
      <c r="D32" s="42" t="s">
        <v>30</v>
      </c>
      <c r="E32" s="42">
        <v>2020</v>
      </c>
      <c r="F32" s="42" t="s">
        <v>42</v>
      </c>
      <c r="G32" s="10">
        <v>146.9</v>
      </c>
      <c r="H32" s="10">
        <v>183.9</v>
      </c>
      <c r="I32" s="10">
        <v>149.5</v>
      </c>
      <c r="J32" s="10">
        <v>153.4</v>
      </c>
      <c r="K32" s="10">
        <v>140.4</v>
      </c>
      <c r="L32" s="10">
        <v>147</v>
      </c>
      <c r="M32" s="10">
        <v>178.8</v>
      </c>
      <c r="N32" s="10">
        <v>149.30000000000001</v>
      </c>
      <c r="O32" s="10">
        <v>115.1</v>
      </c>
      <c r="P32" s="10">
        <v>160</v>
      </c>
      <c r="Q32" s="10">
        <v>145.4</v>
      </c>
      <c r="R32" s="10">
        <v>161.6</v>
      </c>
      <c r="S32" s="10">
        <v>156.1</v>
      </c>
      <c r="T32" s="10">
        <v>182.9</v>
      </c>
      <c r="U32" s="10">
        <v>155.4</v>
      </c>
      <c r="V32" s="10">
        <v>149.9</v>
      </c>
      <c r="W32" s="10">
        <v>154.6</v>
      </c>
      <c r="X32" s="10" t="s">
        <v>32</v>
      </c>
      <c r="Y32" s="10">
        <v>146.4</v>
      </c>
      <c r="Z32" s="10">
        <v>151.6</v>
      </c>
      <c r="AA32" s="10">
        <v>159.1</v>
      </c>
      <c r="AB32" s="10">
        <v>144.6</v>
      </c>
      <c r="AC32" s="10">
        <v>152.80000000000001</v>
      </c>
      <c r="AD32" s="10">
        <v>161.1</v>
      </c>
      <c r="AE32" s="10">
        <v>157.4</v>
      </c>
      <c r="AF32" s="10">
        <v>153.69999999999999</v>
      </c>
      <c r="AG32" s="10">
        <v>155.4</v>
      </c>
    </row>
    <row r="33" spans="4:33" x14ac:dyDescent="0.35">
      <c r="D33" s="42" t="s">
        <v>30</v>
      </c>
      <c r="E33" s="42">
        <v>2020</v>
      </c>
      <c r="F33" s="42" t="s">
        <v>43</v>
      </c>
      <c r="G33" s="10">
        <v>146</v>
      </c>
      <c r="H33" s="10">
        <v>186.3</v>
      </c>
      <c r="I33" s="10">
        <v>159.19999999999999</v>
      </c>
      <c r="J33" s="10">
        <v>153.6</v>
      </c>
      <c r="K33" s="10">
        <v>142.6</v>
      </c>
      <c r="L33" s="10">
        <v>147.19999999999999</v>
      </c>
      <c r="M33" s="10">
        <v>200.6</v>
      </c>
      <c r="N33" s="10">
        <v>150.30000000000001</v>
      </c>
      <c r="O33" s="10">
        <v>115.3</v>
      </c>
      <c r="P33" s="10">
        <v>160.9</v>
      </c>
      <c r="Q33" s="10">
        <v>147.4</v>
      </c>
      <c r="R33" s="10">
        <v>161.9</v>
      </c>
      <c r="S33" s="10">
        <v>159.6</v>
      </c>
      <c r="T33" s="10">
        <v>182.7</v>
      </c>
      <c r="U33" s="10">
        <v>155.69999999999999</v>
      </c>
      <c r="V33" s="10">
        <v>150.6</v>
      </c>
      <c r="W33" s="10">
        <v>155</v>
      </c>
      <c r="X33" s="10" t="s">
        <v>32</v>
      </c>
      <c r="Y33" s="10">
        <v>146.80000000000001</v>
      </c>
      <c r="Z33" s="10">
        <v>152</v>
      </c>
      <c r="AA33" s="10">
        <v>159.5</v>
      </c>
      <c r="AB33" s="10">
        <v>146.4</v>
      </c>
      <c r="AC33" s="10">
        <v>152.4</v>
      </c>
      <c r="AD33" s="10">
        <v>162.5</v>
      </c>
      <c r="AE33" s="10">
        <v>156.19999999999999</v>
      </c>
      <c r="AF33" s="10">
        <v>154.30000000000001</v>
      </c>
      <c r="AG33" s="10">
        <v>157.5</v>
      </c>
    </row>
    <row r="34" spans="4:33" x14ac:dyDescent="0.35">
      <c r="D34" s="42" t="s">
        <v>30</v>
      </c>
      <c r="E34" s="42">
        <v>2020</v>
      </c>
      <c r="F34" s="42" t="s">
        <v>45</v>
      </c>
      <c r="G34" s="10">
        <v>145.4</v>
      </c>
      <c r="H34" s="10">
        <v>188.6</v>
      </c>
      <c r="I34" s="10">
        <v>171.6</v>
      </c>
      <c r="J34" s="10">
        <v>153.80000000000001</v>
      </c>
      <c r="K34" s="10">
        <v>145.4</v>
      </c>
      <c r="L34" s="10">
        <v>146.5</v>
      </c>
      <c r="M34" s="10">
        <v>222.2</v>
      </c>
      <c r="N34" s="10">
        <v>155.9</v>
      </c>
      <c r="O34" s="10">
        <v>114.9</v>
      </c>
      <c r="P34" s="10">
        <v>162</v>
      </c>
      <c r="Q34" s="10">
        <v>150</v>
      </c>
      <c r="R34" s="10">
        <v>162.69999999999999</v>
      </c>
      <c r="S34" s="10">
        <v>163.4</v>
      </c>
      <c r="T34" s="10">
        <v>183.4</v>
      </c>
      <c r="U34" s="10">
        <v>156.30000000000001</v>
      </c>
      <c r="V34" s="10">
        <v>151</v>
      </c>
      <c r="W34" s="10">
        <v>155.5</v>
      </c>
      <c r="X34" s="10" t="s">
        <v>32</v>
      </c>
      <c r="Y34" s="10">
        <v>147.5</v>
      </c>
      <c r="Z34" s="10">
        <v>152.80000000000001</v>
      </c>
      <c r="AA34" s="10">
        <v>160.4</v>
      </c>
      <c r="AB34" s="10">
        <v>146.1</v>
      </c>
      <c r="AC34" s="10">
        <v>153.6</v>
      </c>
      <c r="AD34" s="10">
        <v>161.6</v>
      </c>
      <c r="AE34" s="10">
        <v>156.19999999999999</v>
      </c>
      <c r="AF34" s="10">
        <v>154.5</v>
      </c>
      <c r="AG34" s="10">
        <v>159.80000000000001</v>
      </c>
    </row>
    <row r="35" spans="4:33" x14ac:dyDescent="0.35">
      <c r="D35" s="42" t="s">
        <v>30</v>
      </c>
      <c r="E35" s="42">
        <v>2020</v>
      </c>
      <c r="F35" s="42" t="s">
        <v>46</v>
      </c>
      <c r="G35" s="10">
        <v>144.6</v>
      </c>
      <c r="H35" s="10">
        <v>188.5</v>
      </c>
      <c r="I35" s="10">
        <v>173.4</v>
      </c>
      <c r="J35" s="10">
        <v>154</v>
      </c>
      <c r="K35" s="10">
        <v>150</v>
      </c>
      <c r="L35" s="10">
        <v>145.9</v>
      </c>
      <c r="M35" s="10">
        <v>225.2</v>
      </c>
      <c r="N35" s="10">
        <v>159.5</v>
      </c>
      <c r="O35" s="10">
        <v>114.4</v>
      </c>
      <c r="P35" s="10">
        <v>163.5</v>
      </c>
      <c r="Q35" s="10">
        <v>153.4</v>
      </c>
      <c r="R35" s="10">
        <v>163.6</v>
      </c>
      <c r="S35" s="10">
        <v>164.5</v>
      </c>
      <c r="T35" s="10">
        <v>183.6</v>
      </c>
      <c r="U35" s="10">
        <v>157</v>
      </c>
      <c r="V35" s="10">
        <v>151.6</v>
      </c>
      <c r="W35" s="10">
        <v>156.30000000000001</v>
      </c>
      <c r="X35" s="10" t="s">
        <v>32</v>
      </c>
      <c r="Y35" s="10">
        <v>148.69999999999999</v>
      </c>
      <c r="Z35" s="10">
        <v>153.4</v>
      </c>
      <c r="AA35" s="10">
        <v>161.6</v>
      </c>
      <c r="AB35" s="10">
        <v>146.4</v>
      </c>
      <c r="AC35" s="10">
        <v>153.9</v>
      </c>
      <c r="AD35" s="10">
        <v>162.9</v>
      </c>
      <c r="AE35" s="10">
        <v>156.6</v>
      </c>
      <c r="AF35" s="10">
        <v>155.19999999999999</v>
      </c>
      <c r="AG35" s="10">
        <v>160.69999999999999</v>
      </c>
    </row>
    <row r="36" spans="4:33" x14ac:dyDescent="0.35">
      <c r="D36" s="1"/>
      <c r="E36" s="1"/>
      <c r="F36" s="1"/>
    </row>
    <row r="37" spans="4:33" x14ac:dyDescent="0.35">
      <c r="D37" s="1"/>
      <c r="E37" s="1"/>
      <c r="F37" s="1"/>
    </row>
    <row r="38" spans="4:33" x14ac:dyDescent="0.35">
      <c r="D38" s="1"/>
      <c r="E38" s="1"/>
      <c r="F38" s="1"/>
    </row>
    <row r="39" spans="4:33" x14ac:dyDescent="0.35">
      <c r="D39" s="1"/>
      <c r="E39" s="1"/>
      <c r="F39" s="1"/>
    </row>
    <row r="40" spans="4:33" x14ac:dyDescent="0.35">
      <c r="D40" s="1"/>
      <c r="E40" s="1"/>
      <c r="F40" s="1"/>
    </row>
    <row r="41" spans="4:33" x14ac:dyDescent="0.35">
      <c r="D41" s="42" t="s">
        <v>33</v>
      </c>
      <c r="E41" s="42">
        <v>2020</v>
      </c>
      <c r="F41" s="42" t="s">
        <v>31</v>
      </c>
      <c r="G41" s="10">
        <v>145.6</v>
      </c>
      <c r="H41" s="10">
        <v>167.6</v>
      </c>
      <c r="I41" s="10">
        <v>157</v>
      </c>
      <c r="J41" s="10">
        <v>149.30000000000001</v>
      </c>
      <c r="K41" s="10">
        <v>126.3</v>
      </c>
      <c r="L41" s="10">
        <v>144.4</v>
      </c>
      <c r="M41" s="10">
        <v>207.8</v>
      </c>
      <c r="N41" s="10">
        <v>139.1</v>
      </c>
      <c r="O41" s="10">
        <v>114.8</v>
      </c>
      <c r="P41" s="10">
        <v>149.5</v>
      </c>
      <c r="Q41" s="10">
        <v>131.1</v>
      </c>
      <c r="R41" s="10">
        <v>158.5</v>
      </c>
      <c r="S41" s="10">
        <v>154.4</v>
      </c>
      <c r="T41" s="10">
        <v>170.8</v>
      </c>
      <c r="U41" s="10">
        <v>147</v>
      </c>
      <c r="V41" s="10">
        <v>133.19999999999999</v>
      </c>
      <c r="W41" s="10">
        <v>144.9</v>
      </c>
      <c r="X41" s="10">
        <v>153.9</v>
      </c>
      <c r="Y41" s="10">
        <v>135.1</v>
      </c>
      <c r="Z41" s="10">
        <v>140.1</v>
      </c>
      <c r="AA41" s="10">
        <v>143.80000000000001</v>
      </c>
      <c r="AB41" s="10">
        <v>126.1</v>
      </c>
      <c r="AC41" s="10">
        <v>137.19999999999999</v>
      </c>
      <c r="AD41" s="10">
        <v>152.1</v>
      </c>
      <c r="AE41" s="10">
        <v>142.1</v>
      </c>
      <c r="AF41" s="10">
        <v>138.4</v>
      </c>
      <c r="AG41" s="10">
        <v>148.19999999999999</v>
      </c>
    </row>
    <row r="42" spans="4:33" x14ac:dyDescent="0.35">
      <c r="D42" s="42" t="s">
        <v>33</v>
      </c>
      <c r="E42" s="42">
        <v>2020</v>
      </c>
      <c r="F42" s="42" t="s">
        <v>35</v>
      </c>
      <c r="G42" s="10">
        <v>146.19999999999999</v>
      </c>
      <c r="H42" s="10">
        <v>167.6</v>
      </c>
      <c r="I42" s="10">
        <v>153.1</v>
      </c>
      <c r="J42" s="10">
        <v>150.69999999999999</v>
      </c>
      <c r="K42" s="10">
        <v>127.4</v>
      </c>
      <c r="L42" s="10">
        <v>143.1</v>
      </c>
      <c r="M42" s="10">
        <v>181.7</v>
      </c>
      <c r="N42" s="10">
        <v>139.6</v>
      </c>
      <c r="O42" s="10">
        <v>114.6</v>
      </c>
      <c r="P42" s="10">
        <v>150.4</v>
      </c>
      <c r="Q42" s="10">
        <v>131.5</v>
      </c>
      <c r="R42" s="10">
        <v>159</v>
      </c>
      <c r="S42" s="10">
        <v>151.69999999999999</v>
      </c>
      <c r="T42" s="10">
        <v>172</v>
      </c>
      <c r="U42" s="10">
        <v>147.30000000000001</v>
      </c>
      <c r="V42" s="10">
        <v>133.5</v>
      </c>
      <c r="W42" s="10">
        <v>145.19999999999999</v>
      </c>
      <c r="X42" s="10">
        <v>154.80000000000001</v>
      </c>
      <c r="Y42" s="10">
        <v>138.9</v>
      </c>
      <c r="Z42" s="10">
        <v>140.4</v>
      </c>
      <c r="AA42" s="10">
        <v>144.4</v>
      </c>
      <c r="AB42" s="10">
        <v>125.2</v>
      </c>
      <c r="AC42" s="10">
        <v>137.69999999999999</v>
      </c>
      <c r="AD42" s="10">
        <v>152.19999999999999</v>
      </c>
      <c r="AE42" s="10">
        <v>143.5</v>
      </c>
      <c r="AF42" s="10">
        <v>138.4</v>
      </c>
      <c r="AG42" s="10">
        <v>147.69999999999999</v>
      </c>
    </row>
    <row r="43" spans="4:33" x14ac:dyDescent="0.35">
      <c r="D43" s="42" t="s">
        <v>33</v>
      </c>
      <c r="E43" s="42">
        <v>2020</v>
      </c>
      <c r="F43" s="42" t="s">
        <v>36</v>
      </c>
      <c r="G43" s="10">
        <v>146.5</v>
      </c>
      <c r="H43" s="10">
        <v>167.5</v>
      </c>
      <c r="I43" s="10">
        <v>148.9</v>
      </c>
      <c r="J43" s="10">
        <v>151.1</v>
      </c>
      <c r="K43" s="10">
        <v>127.5</v>
      </c>
      <c r="L43" s="10">
        <v>143.30000000000001</v>
      </c>
      <c r="M43" s="10">
        <v>167</v>
      </c>
      <c r="N43" s="10">
        <v>139.69999999999999</v>
      </c>
      <c r="O43" s="10">
        <v>114.4</v>
      </c>
      <c r="P43" s="10">
        <v>151.5</v>
      </c>
      <c r="Q43" s="10">
        <v>131.9</v>
      </c>
      <c r="R43" s="10">
        <v>159.1</v>
      </c>
      <c r="S43" s="10">
        <v>150.1</v>
      </c>
      <c r="T43" s="10">
        <v>173.3</v>
      </c>
      <c r="U43" s="10">
        <v>147.69999999999999</v>
      </c>
      <c r="V43" s="10">
        <v>133.80000000000001</v>
      </c>
      <c r="W43" s="10">
        <v>145.6</v>
      </c>
      <c r="X43" s="10">
        <v>154.5</v>
      </c>
      <c r="Y43" s="10">
        <v>141.4</v>
      </c>
      <c r="Z43" s="10">
        <v>140.80000000000001</v>
      </c>
      <c r="AA43" s="10">
        <v>145</v>
      </c>
      <c r="AB43" s="10">
        <v>124.6</v>
      </c>
      <c r="AC43" s="10">
        <v>137.9</v>
      </c>
      <c r="AD43" s="10">
        <v>152.5</v>
      </c>
      <c r="AE43" s="10">
        <v>145.30000000000001</v>
      </c>
      <c r="AF43" s="10">
        <v>138.69999999999999</v>
      </c>
      <c r="AG43" s="10">
        <v>147.30000000000001</v>
      </c>
    </row>
    <row r="44" spans="4:33" x14ac:dyDescent="0.35">
      <c r="D44" s="42" t="s">
        <v>33</v>
      </c>
      <c r="E44" s="42">
        <v>2020</v>
      </c>
      <c r="F44" s="42" t="s">
        <v>37</v>
      </c>
      <c r="G44" s="10">
        <v>151.80000000000001</v>
      </c>
      <c r="H44" s="86">
        <f xml:space="preserve"> H43 +(H46-H43)*(1/3)</f>
        <v>177.33333333333334</v>
      </c>
      <c r="I44" s="10">
        <v>151.9</v>
      </c>
      <c r="J44" s="10">
        <v>155.5</v>
      </c>
      <c r="K44" s="10">
        <v>131.6</v>
      </c>
      <c r="L44" s="10">
        <v>152.9</v>
      </c>
      <c r="M44" s="10">
        <v>180</v>
      </c>
      <c r="N44" s="10">
        <v>150.80000000000001</v>
      </c>
      <c r="O44" s="10">
        <v>121.2</v>
      </c>
      <c r="P44" s="10">
        <v>154</v>
      </c>
      <c r="Q44" s="10">
        <v>133.5</v>
      </c>
      <c r="R44" s="86">
        <f>R43+( R46-R43)*(1/3)</f>
        <v>159.96666666666667</v>
      </c>
      <c r="S44" s="10">
        <v>153.5</v>
      </c>
      <c r="T44" s="86">
        <f xml:space="preserve"> T43+(T46-T43)*(1/3)</f>
        <v>177.76666666666668</v>
      </c>
      <c r="U44" s="86">
        <f t="shared" ref="U44:V44" si="11" xml:space="preserve"> U43+(U46-U43)*(1/3)</f>
        <v>148.16666666666666</v>
      </c>
      <c r="V44" s="86">
        <f t="shared" si="11"/>
        <v>134.73333333333335</v>
      </c>
      <c r="W44" s="86">
        <f xml:space="preserve"> W43+(W46-W43)*(1/3)</f>
        <v>146.13333333333333</v>
      </c>
      <c r="X44" s="10">
        <v>155.6</v>
      </c>
      <c r="Y44" s="10">
        <v>137.1</v>
      </c>
      <c r="Z44" s="86">
        <f>Z43+(Z46-Z43)*(1/3)</f>
        <v>140.66666666666669</v>
      </c>
      <c r="AA44" s="10">
        <v>144.80000000000001</v>
      </c>
      <c r="AB44" s="86">
        <f>AB43+(AB46-AB43)*(1/3)</f>
        <v>126.16666666666667</v>
      </c>
      <c r="AC44" s="86">
        <f t="shared" ref="AC44:AG44" si="12">AC43+(AC46-AC43)*(1/3)</f>
        <v>140.1</v>
      </c>
      <c r="AD44" s="86">
        <f t="shared" si="12"/>
        <v>152.5</v>
      </c>
      <c r="AE44" s="86">
        <f t="shared" si="12"/>
        <v>147.6</v>
      </c>
      <c r="AF44" s="86">
        <f t="shared" si="12"/>
        <v>139.79999999999998</v>
      </c>
      <c r="AG44" s="86">
        <f t="shared" si="12"/>
        <v>148.46666666666667</v>
      </c>
    </row>
    <row r="45" spans="4:33" x14ac:dyDescent="0.35">
      <c r="D45" s="42" t="s">
        <v>33</v>
      </c>
      <c r="E45" s="42">
        <v>2020</v>
      </c>
      <c r="F45" s="42" t="s">
        <v>38</v>
      </c>
      <c r="G45" s="86">
        <f xml:space="preserve"> (G44+G46)/2</f>
        <v>152.25</v>
      </c>
      <c r="H45" s="86">
        <f xml:space="preserve"> H43 +(H46-H43)*(2/3)</f>
        <v>187.16666666666666</v>
      </c>
      <c r="I45" s="86">
        <f t="shared" ref="I45:AA45" si="13" xml:space="preserve"> (I44+I46)/2</f>
        <v>153.25</v>
      </c>
      <c r="J45" s="86">
        <f t="shared" si="13"/>
        <v>154.44999999999999</v>
      </c>
      <c r="K45" s="86">
        <f t="shared" si="13"/>
        <v>132.25</v>
      </c>
      <c r="L45" s="86">
        <f t="shared" si="13"/>
        <v>152.35000000000002</v>
      </c>
      <c r="M45" s="86">
        <f t="shared" si="13"/>
        <v>175.6</v>
      </c>
      <c r="N45" s="86">
        <f t="shared" si="13"/>
        <v>151.4</v>
      </c>
      <c r="O45" s="86">
        <f t="shared" si="13"/>
        <v>118.75</v>
      </c>
      <c r="P45" s="86">
        <f t="shared" si="13"/>
        <v>156.4</v>
      </c>
      <c r="Q45" s="86">
        <f t="shared" si="13"/>
        <v>134.55000000000001</v>
      </c>
      <c r="R45" s="86">
        <f>R43+( R46-R43)*(2/3)</f>
        <v>160.83333333333331</v>
      </c>
      <c r="S45" s="86">
        <f t="shared" si="13"/>
        <v>155.25</v>
      </c>
      <c r="T45" s="10">
        <f xml:space="preserve"> T43+(T46-T43)*(2/3)</f>
        <v>182.23333333333332</v>
      </c>
      <c r="U45" s="10">
        <f t="shared" ref="U45:V45" si="14" xml:space="preserve"> U43+(U46-U43)*(2/3)</f>
        <v>148.63333333333333</v>
      </c>
      <c r="V45" s="10">
        <f t="shared" si="14"/>
        <v>135.66666666666666</v>
      </c>
      <c r="W45" s="10">
        <f xml:space="preserve"> W43+(W46-W43)*(2/3)</f>
        <v>146.66666666666666</v>
      </c>
      <c r="X45" s="10">
        <f t="shared" si="13"/>
        <v>155.14999999999998</v>
      </c>
      <c r="Y45" s="10">
        <f t="shared" si="13"/>
        <v>137.1</v>
      </c>
      <c r="Z45" s="86">
        <f>Z43+(Z46-Z43)*(2/3)</f>
        <v>140.53333333333333</v>
      </c>
      <c r="AA45" s="10">
        <f t="shared" si="13"/>
        <v>146.44999999999999</v>
      </c>
      <c r="AB45" s="86">
        <f>AB43+(AB46-AB43)*(2/3)</f>
        <v>127.73333333333333</v>
      </c>
      <c r="AC45" s="86">
        <f t="shared" ref="AC45:AG45" si="15">AC43+(AC46-AC43)*(2/3)</f>
        <v>142.30000000000001</v>
      </c>
      <c r="AD45" s="86">
        <f t="shared" si="15"/>
        <v>152.5</v>
      </c>
      <c r="AE45" s="86">
        <f t="shared" si="15"/>
        <v>149.9</v>
      </c>
      <c r="AF45" s="86">
        <f t="shared" si="15"/>
        <v>140.9</v>
      </c>
      <c r="AG45" s="86">
        <f t="shared" si="15"/>
        <v>149.63333333333335</v>
      </c>
    </row>
    <row r="46" spans="4:33" x14ac:dyDescent="0.35">
      <c r="D46" s="42" t="s">
        <v>33</v>
      </c>
      <c r="E46" s="42">
        <v>2020</v>
      </c>
      <c r="F46" s="42" t="s">
        <v>39</v>
      </c>
      <c r="G46" s="10">
        <v>152.69999999999999</v>
      </c>
      <c r="H46" s="10">
        <v>197</v>
      </c>
      <c r="I46" s="10">
        <v>154.6</v>
      </c>
      <c r="J46" s="10">
        <v>153.4</v>
      </c>
      <c r="K46" s="10">
        <v>132.9</v>
      </c>
      <c r="L46" s="10">
        <v>151.80000000000001</v>
      </c>
      <c r="M46" s="10">
        <v>171.2</v>
      </c>
      <c r="N46" s="10">
        <v>152</v>
      </c>
      <c r="O46" s="10">
        <v>116.3</v>
      </c>
      <c r="P46" s="10">
        <v>158.80000000000001</v>
      </c>
      <c r="Q46" s="10">
        <v>135.6</v>
      </c>
      <c r="R46" s="10">
        <v>161.69999999999999</v>
      </c>
      <c r="S46" s="10">
        <v>157</v>
      </c>
      <c r="T46" s="10">
        <v>186.7</v>
      </c>
      <c r="U46" s="10">
        <v>149.1</v>
      </c>
      <c r="V46" s="10">
        <v>136.6</v>
      </c>
      <c r="W46" s="10">
        <v>147.19999999999999</v>
      </c>
      <c r="X46" s="10">
        <v>154.69999999999999</v>
      </c>
      <c r="Y46" s="10">
        <v>137.1</v>
      </c>
      <c r="Z46" s="10">
        <v>140.4</v>
      </c>
      <c r="AA46" s="10">
        <v>148.1</v>
      </c>
      <c r="AB46" s="10">
        <v>129.30000000000001</v>
      </c>
      <c r="AC46" s="10">
        <v>144.5</v>
      </c>
      <c r="AD46" s="10">
        <v>152.5</v>
      </c>
      <c r="AE46" s="10">
        <v>152.19999999999999</v>
      </c>
      <c r="AF46" s="10">
        <v>142</v>
      </c>
      <c r="AG46" s="10">
        <v>150.80000000000001</v>
      </c>
    </row>
    <row r="47" spans="4:33" x14ac:dyDescent="0.35">
      <c r="D47" s="42" t="s">
        <v>33</v>
      </c>
      <c r="E47" s="42">
        <v>2020</v>
      </c>
      <c r="F47" s="42" t="s">
        <v>40</v>
      </c>
      <c r="G47" s="10">
        <v>152.69999999999999</v>
      </c>
      <c r="H47" s="10">
        <v>197</v>
      </c>
      <c r="I47" s="10">
        <v>154.6</v>
      </c>
      <c r="J47" s="10">
        <v>153.4</v>
      </c>
      <c r="K47" s="10">
        <v>132.9</v>
      </c>
      <c r="L47" s="10">
        <v>151.80000000000001</v>
      </c>
      <c r="M47" s="10">
        <v>171.2</v>
      </c>
      <c r="N47" s="10">
        <v>152</v>
      </c>
      <c r="O47" s="10">
        <v>116.3</v>
      </c>
      <c r="P47" s="10">
        <v>158.80000000000001</v>
      </c>
      <c r="Q47" s="10">
        <v>135.6</v>
      </c>
      <c r="R47" s="10">
        <v>161.69999999999999</v>
      </c>
      <c r="S47" s="10">
        <v>157</v>
      </c>
      <c r="T47" s="10">
        <v>186.7</v>
      </c>
      <c r="U47" s="10">
        <v>149.1</v>
      </c>
      <c r="V47" s="10">
        <v>136.6</v>
      </c>
      <c r="W47" s="10">
        <v>147.19999999999999</v>
      </c>
      <c r="X47" s="10">
        <v>154.69999999999999</v>
      </c>
      <c r="Y47" s="10">
        <v>137.1</v>
      </c>
      <c r="Z47" s="10">
        <v>140.4</v>
      </c>
      <c r="AA47" s="10">
        <v>148.1</v>
      </c>
      <c r="AB47" s="10">
        <v>129.30000000000001</v>
      </c>
      <c r="AC47" s="10">
        <v>144.5</v>
      </c>
      <c r="AD47" s="10">
        <v>152.5</v>
      </c>
      <c r="AE47" s="10">
        <v>152.19999999999999</v>
      </c>
      <c r="AF47" s="10">
        <v>142</v>
      </c>
      <c r="AG47" s="10">
        <v>150.80000000000001</v>
      </c>
    </row>
    <row r="48" spans="4:33" x14ac:dyDescent="0.35">
      <c r="D48" s="42" t="s">
        <v>33</v>
      </c>
      <c r="E48" s="42">
        <v>2020</v>
      </c>
      <c r="F48" s="42" t="s">
        <v>41</v>
      </c>
      <c r="G48" s="10">
        <v>151.6</v>
      </c>
      <c r="H48" s="10">
        <v>197.8</v>
      </c>
      <c r="I48" s="10">
        <v>154.5</v>
      </c>
      <c r="J48" s="10">
        <v>153.4</v>
      </c>
      <c r="K48" s="10">
        <v>133.4</v>
      </c>
      <c r="L48" s="10">
        <v>154.5</v>
      </c>
      <c r="M48" s="10">
        <v>191.9</v>
      </c>
      <c r="N48" s="10">
        <v>151.30000000000001</v>
      </c>
      <c r="O48" s="10">
        <v>116.8</v>
      </c>
      <c r="P48" s="10">
        <v>160</v>
      </c>
      <c r="Q48" s="10">
        <v>136.5</v>
      </c>
      <c r="R48" s="10">
        <v>163.30000000000001</v>
      </c>
      <c r="S48" s="10">
        <v>159.9</v>
      </c>
      <c r="T48" s="10">
        <v>187.2</v>
      </c>
      <c r="U48" s="10">
        <v>150</v>
      </c>
      <c r="V48" s="10">
        <v>135.19999999999999</v>
      </c>
      <c r="W48" s="10">
        <v>147.80000000000001</v>
      </c>
      <c r="X48" s="10">
        <v>155.5</v>
      </c>
      <c r="Y48" s="10">
        <v>138.30000000000001</v>
      </c>
      <c r="Z48" s="10">
        <v>144.5</v>
      </c>
      <c r="AA48" s="10">
        <v>148.69999999999999</v>
      </c>
      <c r="AB48" s="10">
        <v>133.9</v>
      </c>
      <c r="AC48" s="10">
        <v>141.19999999999999</v>
      </c>
      <c r="AD48" s="10">
        <v>155.5</v>
      </c>
      <c r="AE48" s="10">
        <v>155.19999999999999</v>
      </c>
      <c r="AF48" s="10">
        <v>144.80000000000001</v>
      </c>
      <c r="AG48" s="10">
        <v>152.9</v>
      </c>
    </row>
    <row r="49" spans="4:33" x14ac:dyDescent="0.35">
      <c r="D49" s="42" t="s">
        <v>33</v>
      </c>
      <c r="E49" s="42">
        <v>2020</v>
      </c>
      <c r="F49" s="42" t="s">
        <v>42</v>
      </c>
      <c r="G49" s="10">
        <v>151.5</v>
      </c>
      <c r="H49" s="10">
        <v>193.1</v>
      </c>
      <c r="I49" s="10">
        <v>157.30000000000001</v>
      </c>
      <c r="J49" s="10">
        <v>153.9</v>
      </c>
      <c r="K49" s="10">
        <v>134.4</v>
      </c>
      <c r="L49" s="10">
        <v>155.4</v>
      </c>
      <c r="M49" s="10">
        <v>202</v>
      </c>
      <c r="N49" s="10">
        <v>150.80000000000001</v>
      </c>
      <c r="O49" s="10">
        <v>118.9</v>
      </c>
      <c r="P49" s="10">
        <v>160.9</v>
      </c>
      <c r="Q49" s="10">
        <v>137.69999999999999</v>
      </c>
      <c r="R49" s="10">
        <v>164.4</v>
      </c>
      <c r="S49" s="10">
        <v>161.30000000000001</v>
      </c>
      <c r="T49" s="10">
        <v>188.7</v>
      </c>
      <c r="U49" s="10">
        <v>150.19999999999999</v>
      </c>
      <c r="V49" s="10">
        <v>136.30000000000001</v>
      </c>
      <c r="W49" s="10">
        <v>148.1</v>
      </c>
      <c r="X49" s="10">
        <v>156.30000000000001</v>
      </c>
      <c r="Y49" s="10">
        <v>137.19999999999999</v>
      </c>
      <c r="Z49" s="10">
        <v>145.4</v>
      </c>
      <c r="AA49" s="10">
        <v>150</v>
      </c>
      <c r="AB49" s="10">
        <v>135.1</v>
      </c>
      <c r="AC49" s="10">
        <v>141.80000000000001</v>
      </c>
      <c r="AD49" s="10">
        <v>154.9</v>
      </c>
      <c r="AE49" s="10">
        <v>159.80000000000001</v>
      </c>
      <c r="AF49" s="10">
        <v>146</v>
      </c>
      <c r="AG49" s="10">
        <v>154</v>
      </c>
    </row>
    <row r="50" spans="4:33" x14ac:dyDescent="0.35">
      <c r="D50" s="42" t="s">
        <v>33</v>
      </c>
      <c r="E50" s="42">
        <v>2020</v>
      </c>
      <c r="F50" s="42" t="s">
        <v>43</v>
      </c>
      <c r="G50" s="10">
        <v>150.6</v>
      </c>
      <c r="H50" s="10">
        <v>193.7</v>
      </c>
      <c r="I50" s="10">
        <v>164.8</v>
      </c>
      <c r="J50" s="10">
        <v>153.69999999999999</v>
      </c>
      <c r="K50" s="10">
        <v>135.69999999999999</v>
      </c>
      <c r="L50" s="10">
        <v>155.69999999999999</v>
      </c>
      <c r="M50" s="10">
        <v>226</v>
      </c>
      <c r="N50" s="10">
        <v>152.19999999999999</v>
      </c>
      <c r="O50" s="10">
        <v>118.1</v>
      </c>
      <c r="P50" s="10">
        <v>161.30000000000001</v>
      </c>
      <c r="Q50" s="10">
        <v>139.19999999999999</v>
      </c>
      <c r="R50" s="10">
        <v>164.8</v>
      </c>
      <c r="S50" s="10">
        <v>164.4</v>
      </c>
      <c r="T50" s="10">
        <v>188.7</v>
      </c>
      <c r="U50" s="10">
        <v>150.5</v>
      </c>
      <c r="V50" s="10">
        <v>136.1</v>
      </c>
      <c r="W50" s="10">
        <v>148.30000000000001</v>
      </c>
      <c r="X50" s="10">
        <v>156.5</v>
      </c>
      <c r="Y50" s="10">
        <v>137.1</v>
      </c>
      <c r="Z50" s="10">
        <v>145.1</v>
      </c>
      <c r="AA50" s="10">
        <v>151</v>
      </c>
      <c r="AB50" s="10">
        <v>135.4</v>
      </c>
      <c r="AC50" s="10">
        <v>142</v>
      </c>
      <c r="AD50" s="10">
        <v>155.69999999999999</v>
      </c>
      <c r="AE50" s="10">
        <v>158.1</v>
      </c>
      <c r="AF50" s="10">
        <v>146.19999999999999</v>
      </c>
      <c r="AG50" s="10">
        <v>155.19999999999999</v>
      </c>
    </row>
    <row r="51" spans="4:33" x14ac:dyDescent="0.35">
      <c r="D51" s="42" t="s">
        <v>33</v>
      </c>
      <c r="E51" s="42">
        <v>2020</v>
      </c>
      <c r="F51" s="42" t="s">
        <v>45</v>
      </c>
      <c r="G51" s="10">
        <v>149.69999999999999</v>
      </c>
      <c r="H51" s="10">
        <v>195.5</v>
      </c>
      <c r="I51" s="10">
        <v>176.9</v>
      </c>
      <c r="J51" s="10">
        <v>153.9</v>
      </c>
      <c r="K51" s="10">
        <v>138</v>
      </c>
      <c r="L51" s="10">
        <v>150.5</v>
      </c>
      <c r="M51" s="10">
        <v>245.3</v>
      </c>
      <c r="N51" s="10">
        <v>158.69999999999999</v>
      </c>
      <c r="O51" s="10">
        <v>117.2</v>
      </c>
      <c r="P51" s="10">
        <v>161.4</v>
      </c>
      <c r="Q51" s="10">
        <v>141.5</v>
      </c>
      <c r="R51" s="10">
        <v>165.1</v>
      </c>
      <c r="S51" s="10">
        <v>167</v>
      </c>
      <c r="T51" s="10">
        <v>188.8</v>
      </c>
      <c r="U51" s="10">
        <v>151.1</v>
      </c>
      <c r="V51" s="10">
        <v>136.4</v>
      </c>
      <c r="W51" s="10">
        <v>148.80000000000001</v>
      </c>
      <c r="X51" s="10">
        <v>158</v>
      </c>
      <c r="Y51" s="10">
        <v>137.30000000000001</v>
      </c>
      <c r="Z51" s="10">
        <v>145.1</v>
      </c>
      <c r="AA51" s="10">
        <v>152</v>
      </c>
      <c r="AB51" s="10">
        <v>135.19999999999999</v>
      </c>
      <c r="AC51" s="10">
        <v>144.4</v>
      </c>
      <c r="AD51" s="10">
        <v>156.4</v>
      </c>
      <c r="AE51" s="10">
        <v>157.9</v>
      </c>
      <c r="AF51" s="10">
        <v>146.6</v>
      </c>
      <c r="AG51" s="10">
        <v>156.69999999999999</v>
      </c>
    </row>
    <row r="52" spans="4:33" x14ac:dyDescent="0.35">
      <c r="D52" s="42" t="s">
        <v>33</v>
      </c>
      <c r="E52" s="42">
        <v>2020</v>
      </c>
      <c r="F52" s="42" t="s">
        <v>46</v>
      </c>
      <c r="G52" s="10">
        <v>149</v>
      </c>
      <c r="H52" s="10">
        <v>195.7</v>
      </c>
      <c r="I52" s="10">
        <v>178.3</v>
      </c>
      <c r="J52" s="10">
        <v>154.19999999999999</v>
      </c>
      <c r="K52" s="10">
        <v>140.69999999999999</v>
      </c>
      <c r="L52" s="10">
        <v>149.69999999999999</v>
      </c>
      <c r="M52" s="10">
        <v>240.9</v>
      </c>
      <c r="N52" s="10">
        <v>161.5</v>
      </c>
      <c r="O52" s="10">
        <v>117.1</v>
      </c>
      <c r="P52" s="10">
        <v>161.9</v>
      </c>
      <c r="Q52" s="10">
        <v>143.30000000000001</v>
      </c>
      <c r="R52" s="10">
        <v>166.1</v>
      </c>
      <c r="S52" s="10">
        <v>167</v>
      </c>
      <c r="T52" s="10">
        <v>190.2</v>
      </c>
      <c r="U52" s="10">
        <v>151.9</v>
      </c>
      <c r="V52" s="10">
        <v>136.69999999999999</v>
      </c>
      <c r="W52" s="10">
        <v>149.6</v>
      </c>
      <c r="X52" s="10">
        <v>158.4</v>
      </c>
      <c r="Y52" s="10">
        <v>137.9</v>
      </c>
      <c r="Z52" s="10">
        <v>145.5</v>
      </c>
      <c r="AA52" s="10">
        <v>152.9</v>
      </c>
      <c r="AB52" s="10">
        <v>135.5</v>
      </c>
      <c r="AC52" s="10">
        <v>144.30000000000001</v>
      </c>
      <c r="AD52" s="10">
        <v>156.9</v>
      </c>
      <c r="AE52" s="10">
        <v>157.9</v>
      </c>
      <c r="AF52" s="10">
        <v>146.9</v>
      </c>
      <c r="AG52" s="10">
        <v>156.9</v>
      </c>
    </row>
    <row r="60" spans="4:33" ht="26" x14ac:dyDescent="0.6">
      <c r="D60" s="127" t="s">
        <v>55</v>
      </c>
      <c r="E60" s="127"/>
      <c r="F60" s="127"/>
      <c r="G60" s="127"/>
    </row>
    <row r="64" spans="4:33" x14ac:dyDescent="0.35">
      <c r="D64" s="42" t="s">
        <v>34</v>
      </c>
      <c r="E64" s="42">
        <v>2019</v>
      </c>
      <c r="F64" s="42" t="s">
        <v>36</v>
      </c>
      <c r="G64" s="10">
        <v>137.80000000000001</v>
      </c>
      <c r="H64" s="10">
        <v>153</v>
      </c>
      <c r="I64" s="10">
        <v>140.30000000000001</v>
      </c>
      <c r="J64" s="10">
        <v>142.30000000000001</v>
      </c>
      <c r="K64" s="10">
        <v>122</v>
      </c>
      <c r="L64" s="10">
        <v>137.6</v>
      </c>
      <c r="M64" s="10">
        <v>132.6</v>
      </c>
      <c r="N64" s="10">
        <v>121.8</v>
      </c>
      <c r="O64" s="10">
        <v>109</v>
      </c>
      <c r="P64" s="10">
        <v>139.5</v>
      </c>
      <c r="Q64" s="10">
        <v>133.69999999999999</v>
      </c>
      <c r="R64" s="10">
        <v>155.19999999999999</v>
      </c>
      <c r="S64" s="10">
        <v>138.1</v>
      </c>
      <c r="T64" s="10">
        <v>163.5</v>
      </c>
      <c r="U64" s="10">
        <v>147.9</v>
      </c>
      <c r="V64" s="10">
        <v>139.9</v>
      </c>
      <c r="W64" s="10">
        <v>146.69999999999999</v>
      </c>
      <c r="X64" s="10">
        <v>149</v>
      </c>
      <c r="Y64" s="10">
        <v>139.69999999999999</v>
      </c>
      <c r="Z64" s="10">
        <v>143.80000000000001</v>
      </c>
      <c r="AA64" s="10">
        <v>146.19999999999999</v>
      </c>
      <c r="AB64" s="10">
        <v>124.6</v>
      </c>
      <c r="AC64" s="10">
        <v>137.69999999999999</v>
      </c>
      <c r="AD64" s="10">
        <v>150.30000000000001</v>
      </c>
      <c r="AE64" s="10">
        <v>133.4</v>
      </c>
      <c r="AF64" s="10">
        <v>137.69999999999999</v>
      </c>
      <c r="AG64" s="10">
        <v>140.4</v>
      </c>
    </row>
    <row r="65" spans="4:33" x14ac:dyDescent="0.35">
      <c r="D65" s="49" t="s">
        <v>34</v>
      </c>
      <c r="E65" s="49">
        <v>2019</v>
      </c>
      <c r="F65" s="49" t="s">
        <v>37</v>
      </c>
      <c r="G65" s="36">
        <f>(G64+G66)/2</f>
        <v>138.05000000000001</v>
      </c>
      <c r="H65" s="36">
        <f t="shared" ref="H65:AG65" si="16">(H64+H66)/2</f>
        <v>155.75</v>
      </c>
      <c r="I65" s="36">
        <f t="shared" si="16"/>
        <v>138.15</v>
      </c>
      <c r="J65" s="36">
        <f t="shared" si="16"/>
        <v>142.4</v>
      </c>
      <c r="K65" s="36">
        <f t="shared" si="16"/>
        <v>122</v>
      </c>
      <c r="L65" s="36">
        <f t="shared" si="16"/>
        <v>142.05000000000001</v>
      </c>
      <c r="M65" s="36">
        <f t="shared" si="16"/>
        <v>137.80000000000001</v>
      </c>
      <c r="N65" s="36">
        <f t="shared" si="16"/>
        <v>123.35</v>
      </c>
      <c r="O65" s="36">
        <f t="shared" si="16"/>
        <v>109.45</v>
      </c>
      <c r="P65" s="36">
        <f t="shared" si="16"/>
        <v>139.69999999999999</v>
      </c>
      <c r="Q65" s="36">
        <f t="shared" si="16"/>
        <v>133.85</v>
      </c>
      <c r="R65" s="36">
        <f t="shared" si="16"/>
        <v>155.35</v>
      </c>
      <c r="S65" s="36">
        <f t="shared" si="16"/>
        <v>139.5</v>
      </c>
      <c r="T65" s="36">
        <f t="shared" si="16"/>
        <v>163.80000000000001</v>
      </c>
      <c r="U65" s="36">
        <f t="shared" si="16"/>
        <v>148.15</v>
      </c>
      <c r="V65" s="36">
        <f t="shared" si="16"/>
        <v>140.15</v>
      </c>
      <c r="W65" s="36">
        <f t="shared" si="16"/>
        <v>147</v>
      </c>
      <c r="X65" s="36">
        <f t="shared" si="16"/>
        <v>149.55000000000001</v>
      </c>
      <c r="Y65" s="36">
        <f t="shared" si="16"/>
        <v>140</v>
      </c>
      <c r="Z65" s="36">
        <f t="shared" si="16"/>
        <v>143.75</v>
      </c>
      <c r="AA65" s="36">
        <f t="shared" si="16"/>
        <v>146.55000000000001</v>
      </c>
      <c r="AB65" s="36">
        <f t="shared" si="16"/>
        <v>124.75</v>
      </c>
      <c r="AC65" s="36">
        <f t="shared" si="16"/>
        <v>138.44999999999999</v>
      </c>
      <c r="AD65" s="36">
        <f t="shared" si="16"/>
        <v>150.94999999999999</v>
      </c>
      <c r="AE65" s="36">
        <f t="shared" si="16"/>
        <v>133.4</v>
      </c>
      <c r="AF65" s="36">
        <f t="shared" si="16"/>
        <v>137.94999999999999</v>
      </c>
      <c r="AG65" s="36">
        <f t="shared" si="16"/>
        <v>141.19999999999999</v>
      </c>
    </row>
    <row r="66" spans="4:33" x14ac:dyDescent="0.35">
      <c r="D66" s="42" t="s">
        <v>34</v>
      </c>
      <c r="E66" s="42">
        <v>2019</v>
      </c>
      <c r="F66" s="42" t="s">
        <v>38</v>
      </c>
      <c r="G66" s="10">
        <v>138.30000000000001</v>
      </c>
      <c r="H66" s="10">
        <v>158.5</v>
      </c>
      <c r="I66" s="10">
        <v>136</v>
      </c>
      <c r="J66" s="10">
        <v>142.5</v>
      </c>
      <c r="K66" s="10">
        <v>122</v>
      </c>
      <c r="L66" s="10">
        <v>146.5</v>
      </c>
      <c r="M66" s="10">
        <v>143</v>
      </c>
      <c r="N66" s="10">
        <v>124.9</v>
      </c>
      <c r="O66" s="10">
        <v>109.9</v>
      </c>
      <c r="P66" s="10">
        <v>139.9</v>
      </c>
      <c r="Q66" s="10">
        <v>134</v>
      </c>
      <c r="R66" s="10">
        <v>155.5</v>
      </c>
      <c r="S66" s="10">
        <v>140.9</v>
      </c>
      <c r="T66" s="10">
        <v>164.1</v>
      </c>
      <c r="U66" s="10">
        <v>148.4</v>
      </c>
      <c r="V66" s="10">
        <v>140.4</v>
      </c>
      <c r="W66" s="10">
        <v>147.30000000000001</v>
      </c>
      <c r="X66" s="10">
        <v>150.1</v>
      </c>
      <c r="Y66" s="10">
        <v>140.30000000000001</v>
      </c>
      <c r="Z66" s="10">
        <v>143.69999999999999</v>
      </c>
      <c r="AA66" s="10">
        <v>146.9</v>
      </c>
      <c r="AB66" s="10">
        <v>124.9</v>
      </c>
      <c r="AC66" s="10">
        <v>139.19999999999999</v>
      </c>
      <c r="AD66" s="10">
        <v>151.6</v>
      </c>
      <c r="AE66" s="10">
        <v>133.4</v>
      </c>
      <c r="AF66" s="10">
        <v>138.19999999999999</v>
      </c>
      <c r="AG66" s="10">
        <v>142</v>
      </c>
    </row>
    <row r="67" spans="4:33" x14ac:dyDescent="0.35">
      <c r="D67" s="1"/>
      <c r="E67" s="1"/>
      <c r="F67" s="1"/>
    </row>
    <row r="68" spans="4:33" x14ac:dyDescent="0.35">
      <c r="D68" s="1"/>
      <c r="E68" s="1"/>
      <c r="F68" s="1"/>
    </row>
    <row r="69" spans="4:33" x14ac:dyDescent="0.35">
      <c r="D69" s="1"/>
      <c r="E69" s="1"/>
      <c r="F69" s="1"/>
    </row>
    <row r="70" spans="4:33" x14ac:dyDescent="0.35">
      <c r="D70" s="1"/>
      <c r="E70" s="1"/>
      <c r="F70" s="1"/>
    </row>
    <row r="71" spans="4:33" x14ac:dyDescent="0.35">
      <c r="D71" s="42" t="s">
        <v>30</v>
      </c>
      <c r="E71" s="42">
        <v>2019</v>
      </c>
      <c r="F71" s="42" t="s">
        <v>36</v>
      </c>
      <c r="G71" s="10">
        <v>136.9</v>
      </c>
      <c r="H71" s="10">
        <v>154.1</v>
      </c>
      <c r="I71" s="10">
        <v>138.69999999999999</v>
      </c>
      <c r="J71" s="10">
        <v>142.5</v>
      </c>
      <c r="K71" s="10">
        <v>124.1</v>
      </c>
      <c r="L71" s="10">
        <v>136.1</v>
      </c>
      <c r="M71" s="10">
        <v>128.19999999999999</v>
      </c>
      <c r="N71" s="10">
        <v>122.3</v>
      </c>
      <c r="O71" s="10">
        <v>108.3</v>
      </c>
      <c r="P71" s="10">
        <v>138.9</v>
      </c>
      <c r="Q71" s="10">
        <v>137.4</v>
      </c>
      <c r="R71" s="10">
        <v>156.4</v>
      </c>
      <c r="S71" s="10">
        <v>137.30000000000001</v>
      </c>
      <c r="T71" s="10">
        <v>162.9</v>
      </c>
      <c r="U71" s="10">
        <v>150.80000000000001</v>
      </c>
      <c r="V71" s="10">
        <v>146.1</v>
      </c>
      <c r="W71" s="10">
        <v>150.1</v>
      </c>
      <c r="X71" s="10" t="s">
        <v>32</v>
      </c>
      <c r="Y71" s="10">
        <v>146.4</v>
      </c>
      <c r="Z71" s="10">
        <v>150</v>
      </c>
      <c r="AA71" s="10">
        <v>150.4</v>
      </c>
      <c r="AB71" s="10">
        <v>129.9</v>
      </c>
      <c r="AC71" s="10">
        <v>143.80000000000001</v>
      </c>
      <c r="AD71" s="10">
        <v>155.5</v>
      </c>
      <c r="AE71" s="10">
        <v>134</v>
      </c>
      <c r="AF71" s="10">
        <v>142.4</v>
      </c>
      <c r="AG71" s="10">
        <v>141.19999999999999</v>
      </c>
    </row>
    <row r="72" spans="4:33" x14ac:dyDescent="0.35">
      <c r="D72" s="49" t="s">
        <v>30</v>
      </c>
      <c r="E72" s="49">
        <v>2019</v>
      </c>
      <c r="F72" s="49" t="s">
        <v>37</v>
      </c>
      <c r="G72" s="36">
        <f>(G71+G73)/2</f>
        <v>137.15</v>
      </c>
      <c r="H72" s="36">
        <f t="shared" ref="H72:AG72" si="17">(H71+H73)/2</f>
        <v>156.80000000000001</v>
      </c>
      <c r="I72" s="36">
        <f t="shared" si="17"/>
        <v>136.6</v>
      </c>
      <c r="J72" s="36">
        <f t="shared" si="17"/>
        <v>142.55000000000001</v>
      </c>
      <c r="K72" s="36">
        <f t="shared" si="17"/>
        <v>124.05</v>
      </c>
      <c r="L72" s="36">
        <f t="shared" si="17"/>
        <v>139.89999999999998</v>
      </c>
      <c r="M72" s="36">
        <f t="shared" si="17"/>
        <v>130.80000000000001</v>
      </c>
      <c r="N72" s="36">
        <f t="shared" si="17"/>
        <v>123.69999999999999</v>
      </c>
      <c r="O72" s="36">
        <f t="shared" si="17"/>
        <v>108.8</v>
      </c>
      <c r="P72" s="36">
        <f t="shared" si="17"/>
        <v>139.10000000000002</v>
      </c>
      <c r="Q72" s="36">
        <f t="shared" si="17"/>
        <v>137.55000000000001</v>
      </c>
      <c r="R72" s="36">
        <f t="shared" si="17"/>
        <v>156.4</v>
      </c>
      <c r="S72" s="36">
        <f t="shared" si="17"/>
        <v>138.25</v>
      </c>
      <c r="T72" s="36">
        <f t="shared" si="17"/>
        <v>163.10000000000002</v>
      </c>
      <c r="U72" s="36">
        <f t="shared" si="17"/>
        <v>151.05000000000001</v>
      </c>
      <c r="V72" s="36">
        <f t="shared" si="17"/>
        <v>146.35</v>
      </c>
      <c r="W72" s="36">
        <f t="shared" si="17"/>
        <v>150.39999999999998</v>
      </c>
      <c r="X72" s="36" t="e">
        <f t="shared" si="17"/>
        <v>#VALUE!</v>
      </c>
      <c r="Y72" s="36">
        <f t="shared" si="17"/>
        <v>146.65</v>
      </c>
      <c r="Z72" s="36">
        <f t="shared" si="17"/>
        <v>149.75</v>
      </c>
      <c r="AA72" s="36">
        <f t="shared" si="17"/>
        <v>150.85000000000002</v>
      </c>
      <c r="AB72" s="36">
        <f t="shared" si="17"/>
        <v>130.05000000000001</v>
      </c>
      <c r="AC72" s="36">
        <f t="shared" si="17"/>
        <v>144.85000000000002</v>
      </c>
      <c r="AD72" s="36">
        <f t="shared" si="17"/>
        <v>156.1</v>
      </c>
      <c r="AE72" s="36">
        <f t="shared" si="17"/>
        <v>133.94999999999999</v>
      </c>
      <c r="AF72" s="36">
        <f t="shared" si="17"/>
        <v>142.65</v>
      </c>
      <c r="AG72" s="36">
        <f t="shared" si="17"/>
        <v>141.80000000000001</v>
      </c>
    </row>
    <row r="73" spans="4:33" x14ac:dyDescent="0.35">
      <c r="D73" s="42" t="s">
        <v>30</v>
      </c>
      <c r="E73" s="42">
        <v>2019</v>
      </c>
      <c r="F73" s="42" t="s">
        <v>38</v>
      </c>
      <c r="G73" s="10">
        <v>137.4</v>
      </c>
      <c r="H73" s="10">
        <v>159.5</v>
      </c>
      <c r="I73" s="10">
        <v>134.5</v>
      </c>
      <c r="J73" s="10">
        <v>142.6</v>
      </c>
      <c r="K73" s="10">
        <v>124</v>
      </c>
      <c r="L73" s="10">
        <v>143.69999999999999</v>
      </c>
      <c r="M73" s="10">
        <v>133.4</v>
      </c>
      <c r="N73" s="10">
        <v>125.1</v>
      </c>
      <c r="O73" s="10">
        <v>109.3</v>
      </c>
      <c r="P73" s="10">
        <v>139.30000000000001</v>
      </c>
      <c r="Q73" s="10">
        <v>137.69999999999999</v>
      </c>
      <c r="R73" s="10">
        <v>156.4</v>
      </c>
      <c r="S73" s="10">
        <v>139.19999999999999</v>
      </c>
      <c r="T73" s="10">
        <v>163.30000000000001</v>
      </c>
      <c r="U73" s="10">
        <v>151.30000000000001</v>
      </c>
      <c r="V73" s="10">
        <v>146.6</v>
      </c>
      <c r="W73" s="10">
        <v>150.69999999999999</v>
      </c>
      <c r="X73" s="10" t="s">
        <v>32</v>
      </c>
      <c r="Y73" s="10">
        <v>146.9</v>
      </c>
      <c r="Z73" s="10">
        <v>149.5</v>
      </c>
      <c r="AA73" s="10">
        <v>151.30000000000001</v>
      </c>
      <c r="AB73" s="10">
        <v>130.19999999999999</v>
      </c>
      <c r="AC73" s="10">
        <v>145.9</v>
      </c>
      <c r="AD73" s="10">
        <v>156.69999999999999</v>
      </c>
      <c r="AE73" s="10">
        <v>133.9</v>
      </c>
      <c r="AF73" s="10">
        <v>142.9</v>
      </c>
      <c r="AG73" s="10">
        <v>142.4</v>
      </c>
    </row>
    <row r="74" spans="4:33" x14ac:dyDescent="0.35">
      <c r="D74" s="1"/>
      <c r="E74" s="1"/>
      <c r="F74" s="1"/>
    </row>
    <row r="75" spans="4:33" x14ac:dyDescent="0.35">
      <c r="D75" s="1"/>
      <c r="E75" s="1"/>
      <c r="F75" s="1"/>
    </row>
    <row r="76" spans="4:33" x14ac:dyDescent="0.35">
      <c r="D76" s="1"/>
      <c r="E76" s="1"/>
      <c r="F76" s="1"/>
    </row>
    <row r="77" spans="4:33" x14ac:dyDescent="0.35">
      <c r="D77" s="1"/>
      <c r="E77" s="1"/>
      <c r="F77" s="1"/>
    </row>
    <row r="78" spans="4:33" x14ac:dyDescent="0.35">
      <c r="D78" s="42" t="s">
        <v>33</v>
      </c>
      <c r="E78" s="42">
        <v>2019</v>
      </c>
      <c r="F78" s="42" t="s">
        <v>36</v>
      </c>
      <c r="G78" s="10">
        <v>139.69999999999999</v>
      </c>
      <c r="H78" s="10">
        <v>151.1</v>
      </c>
      <c r="I78" s="10">
        <v>142.9</v>
      </c>
      <c r="J78" s="10">
        <v>141.9</v>
      </c>
      <c r="K78" s="10">
        <v>118.4</v>
      </c>
      <c r="L78" s="10">
        <v>139.4</v>
      </c>
      <c r="M78" s="10">
        <v>141.19999999999999</v>
      </c>
      <c r="N78" s="10">
        <v>120.7</v>
      </c>
      <c r="O78" s="10">
        <v>110.4</v>
      </c>
      <c r="P78" s="10">
        <v>140.69999999999999</v>
      </c>
      <c r="Q78" s="10">
        <v>128.5</v>
      </c>
      <c r="R78" s="10">
        <v>153.9</v>
      </c>
      <c r="S78" s="10">
        <v>139.6</v>
      </c>
      <c r="T78" s="10">
        <v>165.3</v>
      </c>
      <c r="U78" s="10">
        <v>143.5</v>
      </c>
      <c r="V78" s="10">
        <v>131.19999999999999</v>
      </c>
      <c r="W78" s="10">
        <v>141.6</v>
      </c>
      <c r="X78" s="10">
        <v>149</v>
      </c>
      <c r="Y78" s="10">
        <v>128.80000000000001</v>
      </c>
      <c r="Z78" s="10">
        <v>136.80000000000001</v>
      </c>
      <c r="AA78" s="10">
        <v>139.19999999999999</v>
      </c>
      <c r="AB78" s="10">
        <v>119.9</v>
      </c>
      <c r="AC78" s="10">
        <v>133</v>
      </c>
      <c r="AD78" s="10">
        <v>146.69999999999999</v>
      </c>
      <c r="AE78" s="10">
        <v>132.5</v>
      </c>
      <c r="AF78" s="10">
        <v>132.80000000000001</v>
      </c>
      <c r="AG78" s="10">
        <v>139.5</v>
      </c>
    </row>
    <row r="79" spans="4:33" x14ac:dyDescent="0.35">
      <c r="D79" s="49" t="s">
        <v>33</v>
      </c>
      <c r="E79" s="49">
        <v>2019</v>
      </c>
      <c r="F79" s="49" t="s">
        <v>37</v>
      </c>
      <c r="G79" s="36">
        <f>(G78+G80)/2</f>
        <v>140.05000000000001</v>
      </c>
      <c r="H79" s="36">
        <f t="shared" ref="H79:AG79" si="18">(H78+H80)/2</f>
        <v>153.89999999999998</v>
      </c>
      <c r="I79" s="36">
        <f t="shared" si="18"/>
        <v>140.60000000000002</v>
      </c>
      <c r="J79" s="36">
        <f t="shared" si="18"/>
        <v>142.15</v>
      </c>
      <c r="K79" s="36">
        <f t="shared" si="18"/>
        <v>118.5</v>
      </c>
      <c r="L79" s="36">
        <f t="shared" si="18"/>
        <v>144.55000000000001</v>
      </c>
      <c r="M79" s="36">
        <f t="shared" si="18"/>
        <v>151.39999999999998</v>
      </c>
      <c r="N79" s="36">
        <f t="shared" si="18"/>
        <v>122.55000000000001</v>
      </c>
      <c r="O79" s="36">
        <f t="shared" si="18"/>
        <v>110.80000000000001</v>
      </c>
      <c r="P79" s="36">
        <f t="shared" si="18"/>
        <v>140.85</v>
      </c>
      <c r="Q79" s="36">
        <f t="shared" si="18"/>
        <v>128.69999999999999</v>
      </c>
      <c r="R79" s="36">
        <f t="shared" si="18"/>
        <v>154.19999999999999</v>
      </c>
      <c r="S79" s="36">
        <f t="shared" si="18"/>
        <v>141.69999999999999</v>
      </c>
      <c r="T79" s="36">
        <f t="shared" si="18"/>
        <v>165.75</v>
      </c>
      <c r="U79" s="36">
        <f t="shared" si="18"/>
        <v>143.75</v>
      </c>
      <c r="V79" s="36">
        <f t="shared" si="18"/>
        <v>131.44999999999999</v>
      </c>
      <c r="W79" s="36">
        <f t="shared" si="18"/>
        <v>141.89999999999998</v>
      </c>
      <c r="X79" s="36">
        <f t="shared" si="18"/>
        <v>149.55000000000001</v>
      </c>
      <c r="Y79" s="36">
        <f t="shared" si="18"/>
        <v>129.10000000000002</v>
      </c>
      <c r="Z79" s="36">
        <f t="shared" si="18"/>
        <v>137</v>
      </c>
      <c r="AA79" s="36">
        <f t="shared" si="18"/>
        <v>139.5</v>
      </c>
      <c r="AB79" s="36">
        <f t="shared" si="18"/>
        <v>120</v>
      </c>
      <c r="AC79" s="36">
        <f t="shared" si="18"/>
        <v>133.5</v>
      </c>
      <c r="AD79" s="36">
        <f t="shared" si="18"/>
        <v>147.35</v>
      </c>
      <c r="AE79" s="36">
        <f t="shared" si="18"/>
        <v>132.55000000000001</v>
      </c>
      <c r="AF79" s="36">
        <f t="shared" si="18"/>
        <v>133.05000000000001</v>
      </c>
      <c r="AG79" s="36">
        <f t="shared" si="18"/>
        <v>140.5</v>
      </c>
    </row>
    <row r="80" spans="4:33" x14ac:dyDescent="0.35">
      <c r="D80" s="42" t="s">
        <v>33</v>
      </c>
      <c r="E80" s="42">
        <v>2019</v>
      </c>
      <c r="F80" s="42" t="s">
        <v>38</v>
      </c>
      <c r="G80" s="10">
        <v>140.4</v>
      </c>
      <c r="H80" s="10">
        <v>156.69999999999999</v>
      </c>
      <c r="I80" s="10">
        <v>138.30000000000001</v>
      </c>
      <c r="J80" s="10">
        <v>142.4</v>
      </c>
      <c r="K80" s="10">
        <v>118.6</v>
      </c>
      <c r="L80" s="10">
        <v>149.69999999999999</v>
      </c>
      <c r="M80" s="10">
        <v>161.6</v>
      </c>
      <c r="N80" s="10">
        <v>124.4</v>
      </c>
      <c r="O80" s="10">
        <v>111.2</v>
      </c>
      <c r="P80" s="10">
        <v>141</v>
      </c>
      <c r="Q80" s="10">
        <v>128.9</v>
      </c>
      <c r="R80" s="10">
        <v>154.5</v>
      </c>
      <c r="S80" s="10">
        <v>143.80000000000001</v>
      </c>
      <c r="T80" s="10">
        <v>166.2</v>
      </c>
      <c r="U80" s="10">
        <v>144</v>
      </c>
      <c r="V80" s="10">
        <v>131.69999999999999</v>
      </c>
      <c r="W80" s="10">
        <v>142.19999999999999</v>
      </c>
      <c r="X80" s="10">
        <v>150.1</v>
      </c>
      <c r="Y80" s="10">
        <v>129.4</v>
      </c>
      <c r="Z80" s="10">
        <v>137.19999999999999</v>
      </c>
      <c r="AA80" s="10">
        <v>139.80000000000001</v>
      </c>
      <c r="AB80" s="10">
        <v>120.1</v>
      </c>
      <c r="AC80" s="10">
        <v>134</v>
      </c>
      <c r="AD80" s="10">
        <v>148</v>
      </c>
      <c r="AE80" s="10">
        <v>132.6</v>
      </c>
      <c r="AF80" s="10">
        <v>133.30000000000001</v>
      </c>
      <c r="AG80" s="10">
        <v>141.5</v>
      </c>
    </row>
  </sheetData>
  <mergeCells count="1">
    <mergeCell ref="D60:G60"/>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FFF2-1695-4777-9CAC-54236307F1A1}">
  <dimension ref="D4:AB35"/>
  <sheetViews>
    <sheetView zoomScale="71" workbookViewId="0">
      <selection activeCell="M7" sqref="M7:M13"/>
    </sheetView>
  </sheetViews>
  <sheetFormatPr defaultRowHeight="14.5" x14ac:dyDescent="0.35"/>
  <cols>
    <col min="4" max="4" width="30.7265625" bestFit="1" customWidth="1"/>
    <col min="5" max="5" width="14.81640625" customWidth="1"/>
    <col min="6" max="6" width="13.81640625" customWidth="1"/>
    <col min="7" max="7" width="16.36328125" bestFit="1" customWidth="1"/>
    <col min="8" max="8" width="32.81640625" bestFit="1" customWidth="1"/>
    <col min="13" max="13" width="32.81640625" bestFit="1" customWidth="1"/>
    <col min="14" max="14" width="28.90625" bestFit="1" customWidth="1"/>
    <col min="15" max="15" width="12.81640625" bestFit="1" customWidth="1"/>
    <col min="16" max="16" width="18.36328125" bestFit="1" customWidth="1"/>
    <col min="17" max="17" width="11.90625" bestFit="1" customWidth="1"/>
    <col min="18" max="21" width="18.36328125" bestFit="1" customWidth="1"/>
    <col min="22" max="22" width="83.81640625" bestFit="1" customWidth="1"/>
    <col min="23" max="34" width="18.36328125" bestFit="1" customWidth="1"/>
    <col min="35" max="35" width="17.1796875" bestFit="1" customWidth="1"/>
    <col min="36" max="36" width="22.6328125" bestFit="1" customWidth="1"/>
    <col min="37" max="37" width="17.81640625" bestFit="1" customWidth="1"/>
    <col min="38" max="38" width="17.36328125" bestFit="1" customWidth="1"/>
    <col min="39" max="39" width="18.08984375" bestFit="1" customWidth="1"/>
  </cols>
  <sheetData>
    <row r="4" spans="4:28" ht="26" x14ac:dyDescent="0.6">
      <c r="D4" s="130" t="s">
        <v>85</v>
      </c>
      <c r="E4" s="130"/>
      <c r="F4" s="130"/>
      <c r="G4" s="130"/>
      <c r="H4" s="130"/>
    </row>
    <row r="5" spans="4:28" ht="26" x14ac:dyDescent="0.6">
      <c r="D5" s="130" t="s">
        <v>86</v>
      </c>
      <c r="E5" s="130"/>
      <c r="F5" s="130"/>
      <c r="G5" s="130"/>
      <c r="H5" s="130"/>
      <c r="M5" s="129" t="s">
        <v>84</v>
      </c>
      <c r="N5" s="129"/>
      <c r="O5" s="129"/>
      <c r="P5" s="129"/>
      <c r="Q5" s="129"/>
      <c r="R5" s="129"/>
      <c r="S5" s="129"/>
    </row>
    <row r="7" spans="4:28" x14ac:dyDescent="0.35">
      <c r="D7" s="26" t="s">
        <v>56</v>
      </c>
      <c r="E7" s="26" t="s">
        <v>30</v>
      </c>
      <c r="F7" s="26" t="s">
        <v>33</v>
      </c>
      <c r="G7" s="26" t="s">
        <v>57</v>
      </c>
      <c r="H7" s="26" t="s">
        <v>58</v>
      </c>
      <c r="M7" s="27" t="s">
        <v>58</v>
      </c>
      <c r="N7" s="27" t="s">
        <v>30</v>
      </c>
      <c r="O7" s="27" t="s">
        <v>33</v>
      </c>
      <c r="P7" s="27" t="s">
        <v>57</v>
      </c>
      <c r="Q7" s="27" t="s">
        <v>65</v>
      </c>
      <c r="R7" s="27" t="s">
        <v>66</v>
      </c>
      <c r="S7" s="27" t="s">
        <v>67</v>
      </c>
    </row>
    <row r="8" spans="4:28" x14ac:dyDescent="0.35">
      <c r="D8" s="10" t="s">
        <v>3</v>
      </c>
      <c r="E8" s="10">
        <v>173.2</v>
      </c>
      <c r="F8" s="10">
        <v>174.7</v>
      </c>
      <c r="G8" s="10">
        <v>173.7</v>
      </c>
      <c r="H8" s="10" t="s">
        <v>59</v>
      </c>
      <c r="M8" s="10" t="s">
        <v>59</v>
      </c>
      <c r="N8" s="10">
        <f ca="1">SUMIF($H$8:$H$34,M8,$E$8:$E$33)</f>
        <v>2290.7000000000007</v>
      </c>
      <c r="O8" s="10">
        <f ca="1">SUMIF($H$8:$H$34,M8,$F$8:$F$33)</f>
        <v>2335.1</v>
      </c>
      <c r="P8" s="10">
        <f ca="1">SUMIF($H$8:$H$34,M8,$G$8:$G$33)</f>
        <v>2306.9</v>
      </c>
      <c r="Q8" s="16">
        <f ca="1">(N8/$N$15)</f>
        <v>0.50918022583800127</v>
      </c>
      <c r="R8" s="16">
        <f ca="1">(O8/$O$15)</f>
        <v>0.52294358721698431</v>
      </c>
      <c r="S8" s="16">
        <f ca="1">(P8/$P$15)</f>
        <v>0.51507100116102533</v>
      </c>
      <c r="Z8" s="97"/>
      <c r="AA8" s="97"/>
      <c r="AB8" s="97"/>
    </row>
    <row r="9" spans="4:28" x14ac:dyDescent="0.35">
      <c r="D9" s="10" t="s">
        <v>4</v>
      </c>
      <c r="E9" s="10">
        <v>211.5</v>
      </c>
      <c r="F9" s="10">
        <v>219.4</v>
      </c>
      <c r="G9" s="10">
        <v>214.3</v>
      </c>
      <c r="H9" s="10" t="s">
        <v>59</v>
      </c>
      <c r="M9" s="10" t="s">
        <v>62</v>
      </c>
      <c r="N9" s="10">
        <f t="shared" ref="N9:N13" ca="1" si="0">SUMIF($H$8:$H$34,M9,$E$8:$E$33)</f>
        <v>362.3</v>
      </c>
      <c r="O9" s="10">
        <f t="shared" ref="O9:O13" ca="1" si="1">SUMIF($H$8:$H$34,M9,$F$8:$F$33)</f>
        <v>353.5</v>
      </c>
      <c r="P9" s="10">
        <f ca="1">SUMIF($H$8:$H$34,M9,$G$8:$G$33)</f>
        <v>358</v>
      </c>
      <c r="Q9" s="16">
        <f t="shared" ref="Q9:Q13" ca="1" si="2">(N9/$N$15)</f>
        <v>8.0532586467502429E-2</v>
      </c>
      <c r="R9" s="16">
        <f t="shared" ref="R9:R13" ca="1" si="3">(O9/$O$15)</f>
        <v>7.9166013481736949E-2</v>
      </c>
      <c r="S9" s="16">
        <f t="shared" ref="S9:S15" ca="1" si="4">(P9/$P$15)</f>
        <v>7.9932124676252575E-2</v>
      </c>
      <c r="Z9" s="97"/>
      <c r="AA9" s="97"/>
      <c r="AB9" s="97"/>
    </row>
    <row r="10" spans="4:28" x14ac:dyDescent="0.35">
      <c r="D10" s="10" t="s">
        <v>5</v>
      </c>
      <c r="E10" s="10">
        <v>171</v>
      </c>
      <c r="F10" s="10">
        <v>176.7</v>
      </c>
      <c r="G10" s="10">
        <v>173.2</v>
      </c>
      <c r="H10" s="10" t="s">
        <v>59</v>
      </c>
      <c r="M10" s="10" t="s">
        <v>61</v>
      </c>
      <c r="N10" s="10">
        <f t="shared" ca="1" si="0"/>
        <v>919.90000000000009</v>
      </c>
      <c r="O10" s="10">
        <f t="shared" ca="1" si="1"/>
        <v>863.90000000000009</v>
      </c>
      <c r="P10" s="10">
        <f t="shared" ref="P10:P12" ca="1" si="5">SUMIF($H$8:$H$34,M10,$G$8:$G$33)</f>
        <v>895.1</v>
      </c>
      <c r="Q10" s="16">
        <f t="shared" ca="1" si="2"/>
        <v>0.20447674935538362</v>
      </c>
      <c r="R10" s="16">
        <f t="shared" ca="1" si="3"/>
        <v>0.19346964369695208</v>
      </c>
      <c r="S10" s="16">
        <f t="shared" ca="1" si="4"/>
        <v>0.19985263909975889</v>
      </c>
      <c r="Z10" s="97"/>
      <c r="AA10" s="97"/>
      <c r="AB10" s="97"/>
    </row>
    <row r="11" spans="4:28" x14ac:dyDescent="0.35">
      <c r="D11" s="10" t="s">
        <v>6</v>
      </c>
      <c r="E11" s="10">
        <v>179.6</v>
      </c>
      <c r="F11" s="10">
        <v>179.4</v>
      </c>
      <c r="G11" s="10">
        <v>179.5</v>
      </c>
      <c r="H11" s="10" t="s">
        <v>59</v>
      </c>
      <c r="M11" s="10" t="s">
        <v>23</v>
      </c>
      <c r="N11" s="10">
        <f t="shared" ca="1" si="0"/>
        <v>187.8</v>
      </c>
      <c r="O11" s="10">
        <f t="shared" ca="1" si="1"/>
        <v>182.2</v>
      </c>
      <c r="P11" s="10">
        <f t="shared" ca="1" si="5"/>
        <v>185.7</v>
      </c>
      <c r="Q11" s="16">
        <f t="shared" ca="1" si="2"/>
        <v>4.174446519071752E-2</v>
      </c>
      <c r="R11" s="16">
        <f t="shared" ca="1" si="3"/>
        <v>4.0803529438111656E-2</v>
      </c>
      <c r="S11" s="16">
        <f t="shared" ca="1" si="4"/>
        <v>4.1461998749665094E-2</v>
      </c>
      <c r="Z11" s="97"/>
      <c r="AA11" s="97"/>
      <c r="AB11" s="97"/>
    </row>
    <row r="12" spans="4:28" x14ac:dyDescent="0.35">
      <c r="D12" s="10" t="s">
        <v>7</v>
      </c>
      <c r="E12" s="10">
        <v>173.3</v>
      </c>
      <c r="F12" s="10">
        <v>164.4</v>
      </c>
      <c r="G12" s="10">
        <v>170</v>
      </c>
      <c r="H12" s="10" t="s">
        <v>59</v>
      </c>
      <c r="M12" s="10" t="s">
        <v>60</v>
      </c>
      <c r="N12" s="10">
        <f t="shared" ca="1" si="0"/>
        <v>558.6</v>
      </c>
      <c r="O12" s="10">
        <f t="shared" ca="1" si="1"/>
        <v>559</v>
      </c>
      <c r="P12" s="10">
        <f t="shared" ca="1" si="5"/>
        <v>557.4</v>
      </c>
      <c r="Q12" s="16">
        <f t="shared" ca="1" si="2"/>
        <v>0.12416644438516936</v>
      </c>
      <c r="R12" s="16">
        <f t="shared" ca="1" si="3"/>
        <v>0.12518755738696169</v>
      </c>
      <c r="S12" s="16">
        <f t="shared" ca="1" si="4"/>
        <v>0.12445297847637761</v>
      </c>
      <c r="Z12" s="97"/>
      <c r="AA12" s="97"/>
      <c r="AB12" s="97"/>
    </row>
    <row r="13" spans="4:28" x14ac:dyDescent="0.35">
      <c r="D13" s="10" t="s">
        <v>8</v>
      </c>
      <c r="E13" s="10">
        <v>169</v>
      </c>
      <c r="F13" s="10">
        <v>175.8</v>
      </c>
      <c r="G13" s="10">
        <v>172.2</v>
      </c>
      <c r="H13" s="10" t="s">
        <v>59</v>
      </c>
      <c r="M13" s="10" t="s">
        <v>28</v>
      </c>
      <c r="N13" s="10">
        <f t="shared" ca="1" si="0"/>
        <v>179.5</v>
      </c>
      <c r="O13" s="10">
        <f t="shared" ca="1" si="1"/>
        <v>171.6</v>
      </c>
      <c r="P13" s="10">
        <f ca="1">SUMIF($H$8:$H$34,M13,$G$8:$G$33)</f>
        <v>175.7</v>
      </c>
      <c r="Q13" s="16">
        <f t="shared" ca="1" si="2"/>
        <v>3.9899528763225736E-2</v>
      </c>
      <c r="R13" s="16">
        <f t="shared" ca="1" si="3"/>
        <v>3.842966877925335E-2</v>
      </c>
      <c r="S13" s="16">
        <f t="shared" ca="1" si="4"/>
        <v>3.9229257836920606E-2</v>
      </c>
      <c r="Z13" s="97"/>
      <c r="AA13" s="97"/>
      <c r="AB13" s="97"/>
    </row>
    <row r="14" spans="4:28" x14ac:dyDescent="0.35">
      <c r="D14" s="10" t="s">
        <v>9</v>
      </c>
      <c r="E14" s="10">
        <v>148.69999999999999</v>
      </c>
      <c r="F14" s="10">
        <v>185</v>
      </c>
      <c r="G14" s="10">
        <v>161</v>
      </c>
      <c r="H14" s="10" t="s">
        <v>59</v>
      </c>
      <c r="M14" s="11" t="s">
        <v>64</v>
      </c>
      <c r="N14" s="11">
        <v>179.8</v>
      </c>
      <c r="O14" s="11">
        <v>178.2</v>
      </c>
      <c r="P14" s="11">
        <v>179.1</v>
      </c>
      <c r="Q14" s="17" t="s">
        <v>48</v>
      </c>
      <c r="R14" s="18" t="s">
        <v>48</v>
      </c>
      <c r="S14" s="17" t="s">
        <v>48</v>
      </c>
      <c r="Z14" s="97"/>
      <c r="AA14" s="97"/>
      <c r="AB14" s="97"/>
    </row>
    <row r="15" spans="4:28" x14ac:dyDescent="0.35">
      <c r="D15" s="10" t="s">
        <v>10</v>
      </c>
      <c r="E15" s="10">
        <v>174.9</v>
      </c>
      <c r="F15" s="10">
        <v>176.9</v>
      </c>
      <c r="G15" s="10">
        <v>175.6</v>
      </c>
      <c r="H15" s="10" t="s">
        <v>59</v>
      </c>
      <c r="M15" s="19" t="s">
        <v>68</v>
      </c>
      <c r="N15" s="19">
        <f ca="1">SUM(N8:N13)</f>
        <v>4498.8000000000011</v>
      </c>
      <c r="O15" s="19">
        <f ca="1">SUM(O8:O13)</f>
        <v>4465.3</v>
      </c>
      <c r="P15" s="19">
        <f ca="1">SUM(P8:P13)</f>
        <v>4478.7999999999993</v>
      </c>
      <c r="Q15" s="20">
        <f ca="1">(N15/$N$15)</f>
        <v>1</v>
      </c>
      <c r="R15" s="20">
        <f ca="1">(O15/$O$15)</f>
        <v>1</v>
      </c>
      <c r="S15" s="20">
        <f t="shared" ca="1" si="4"/>
        <v>1</v>
      </c>
      <c r="Z15" s="97"/>
      <c r="AA15" s="97"/>
      <c r="AB15" s="97"/>
    </row>
    <row r="16" spans="4:28" x14ac:dyDescent="0.35">
      <c r="D16" s="10" t="s">
        <v>11</v>
      </c>
      <c r="E16" s="10">
        <v>121.9</v>
      </c>
      <c r="F16" s="10">
        <v>124.2</v>
      </c>
      <c r="G16" s="10">
        <v>122.7</v>
      </c>
      <c r="H16" s="10" t="s">
        <v>59</v>
      </c>
      <c r="S16" s="14"/>
    </row>
    <row r="17" spans="4:22" x14ac:dyDescent="0.35">
      <c r="D17" s="10" t="s">
        <v>12</v>
      </c>
      <c r="E17" s="10">
        <v>221</v>
      </c>
      <c r="F17" s="10">
        <v>211.9</v>
      </c>
      <c r="G17" s="10">
        <v>218</v>
      </c>
      <c r="H17" s="10" t="s">
        <v>59</v>
      </c>
      <c r="N17" s="15"/>
    </row>
    <row r="18" spans="4:22" x14ac:dyDescent="0.35">
      <c r="D18" s="10" t="s">
        <v>13</v>
      </c>
      <c r="E18" s="10">
        <v>178.7</v>
      </c>
      <c r="F18" s="10">
        <v>165.9</v>
      </c>
      <c r="G18" s="10">
        <v>173.4</v>
      </c>
      <c r="H18" s="10" t="s">
        <v>59</v>
      </c>
    </row>
    <row r="19" spans="4:22" x14ac:dyDescent="0.35">
      <c r="D19" s="10" t="s">
        <v>14</v>
      </c>
      <c r="E19" s="10">
        <v>191.1</v>
      </c>
      <c r="F19" s="10">
        <v>197.7</v>
      </c>
      <c r="G19" s="10">
        <v>194.2</v>
      </c>
      <c r="H19" s="10" t="s">
        <v>59</v>
      </c>
    </row>
    <row r="20" spans="4:22" x14ac:dyDescent="0.35">
      <c r="D20" s="10" t="s">
        <v>15</v>
      </c>
      <c r="E20" s="10">
        <v>176.8</v>
      </c>
      <c r="F20" s="10">
        <v>183.1</v>
      </c>
      <c r="G20" s="10">
        <v>179.1</v>
      </c>
      <c r="H20" s="10" t="s">
        <v>59</v>
      </c>
    </row>
    <row r="21" spans="4:22" x14ac:dyDescent="0.35">
      <c r="D21" s="10" t="s">
        <v>16</v>
      </c>
      <c r="E21" s="10">
        <v>199.9</v>
      </c>
      <c r="F21" s="10">
        <v>204.2</v>
      </c>
      <c r="G21" s="10">
        <v>201</v>
      </c>
      <c r="H21" s="10" t="s">
        <v>60</v>
      </c>
    </row>
    <row r="22" spans="4:22" x14ac:dyDescent="0.35">
      <c r="D22" s="10" t="s">
        <v>17</v>
      </c>
      <c r="E22" s="10">
        <v>191.2</v>
      </c>
      <c r="F22" s="10">
        <v>181.3</v>
      </c>
      <c r="G22" s="10">
        <v>187.3</v>
      </c>
      <c r="H22" s="10" t="s">
        <v>61</v>
      </c>
    </row>
    <row r="23" spans="4:22" x14ac:dyDescent="0.35">
      <c r="D23" s="10" t="s">
        <v>18</v>
      </c>
      <c r="E23" s="10">
        <v>187.9</v>
      </c>
      <c r="F23" s="10">
        <v>168.1</v>
      </c>
      <c r="G23" s="10">
        <v>179.7</v>
      </c>
      <c r="H23" s="10" t="s">
        <v>61</v>
      </c>
    </row>
    <row r="24" spans="4:22" x14ac:dyDescent="0.35">
      <c r="D24" s="10" t="s">
        <v>19</v>
      </c>
      <c r="E24" s="10">
        <v>190.8</v>
      </c>
      <c r="F24" s="10">
        <v>179.3</v>
      </c>
      <c r="G24" s="10">
        <v>186.2</v>
      </c>
      <c r="H24" s="10" t="s">
        <v>61</v>
      </c>
    </row>
    <row r="25" spans="4:22" x14ac:dyDescent="0.35">
      <c r="D25" s="10" t="s">
        <v>20</v>
      </c>
      <c r="E25" s="10" t="s">
        <v>48</v>
      </c>
      <c r="F25" s="10">
        <v>175.6</v>
      </c>
      <c r="G25" s="10">
        <v>175.6</v>
      </c>
      <c r="H25" s="10" t="s">
        <v>63</v>
      </c>
      <c r="M25" s="131" t="s">
        <v>81</v>
      </c>
      <c r="N25" s="131"/>
      <c r="V25" s="1"/>
    </row>
    <row r="26" spans="4:22" x14ac:dyDescent="0.35">
      <c r="D26" s="10" t="s">
        <v>21</v>
      </c>
      <c r="E26" s="10">
        <v>182.5</v>
      </c>
      <c r="F26" s="10">
        <v>183.4</v>
      </c>
      <c r="G26" s="10">
        <v>182.8</v>
      </c>
      <c r="H26" s="13" t="s">
        <v>62</v>
      </c>
      <c r="M26" s="132" t="s">
        <v>82</v>
      </c>
      <c r="N26" s="132"/>
    </row>
    <row r="27" spans="4:22" x14ac:dyDescent="0.35">
      <c r="D27" s="10" t="s">
        <v>22</v>
      </c>
      <c r="E27" s="10">
        <v>179.8</v>
      </c>
      <c r="F27" s="10">
        <v>170.1</v>
      </c>
      <c r="G27" s="10">
        <v>175.2</v>
      </c>
      <c r="H27" s="13" t="s">
        <v>62</v>
      </c>
      <c r="M27" s="24"/>
    </row>
    <row r="28" spans="4:22" x14ac:dyDescent="0.35">
      <c r="D28" s="10" t="s">
        <v>23</v>
      </c>
      <c r="E28" s="10">
        <v>187.8</v>
      </c>
      <c r="F28" s="10">
        <v>182.2</v>
      </c>
      <c r="G28" s="10">
        <v>185.7</v>
      </c>
      <c r="H28" s="10" t="s">
        <v>23</v>
      </c>
    </row>
    <row r="29" spans="4:22" x14ac:dyDescent="0.35">
      <c r="D29" s="10" t="s">
        <v>24</v>
      </c>
      <c r="E29" s="10">
        <v>169.7</v>
      </c>
      <c r="F29" s="10">
        <v>160.4</v>
      </c>
      <c r="G29" s="10">
        <v>164.8</v>
      </c>
      <c r="H29" s="10" t="s">
        <v>61</v>
      </c>
    </row>
    <row r="30" spans="4:22" x14ac:dyDescent="0.35">
      <c r="D30" s="10" t="s">
        <v>25</v>
      </c>
      <c r="E30" s="10">
        <v>173.8</v>
      </c>
      <c r="F30" s="10">
        <v>169.2</v>
      </c>
      <c r="G30" s="10">
        <v>171.2</v>
      </c>
      <c r="H30" s="10" t="s">
        <v>60</v>
      </c>
      <c r="V30" s="15"/>
    </row>
    <row r="31" spans="4:22" x14ac:dyDescent="0.35">
      <c r="D31" s="10" t="s">
        <v>26</v>
      </c>
      <c r="E31" s="10">
        <v>180.3</v>
      </c>
      <c r="F31" s="10">
        <v>174.8</v>
      </c>
      <c r="G31" s="10">
        <v>177.1</v>
      </c>
      <c r="H31" s="10" t="s">
        <v>61</v>
      </c>
    </row>
    <row r="32" spans="4:22" x14ac:dyDescent="0.35">
      <c r="D32" s="10" t="s">
        <v>27</v>
      </c>
      <c r="E32" s="10">
        <v>184.9</v>
      </c>
      <c r="F32" s="10">
        <v>185.6</v>
      </c>
      <c r="G32" s="10">
        <v>185.2</v>
      </c>
      <c r="H32" s="10" t="s">
        <v>60</v>
      </c>
      <c r="V32" s="15"/>
    </row>
    <row r="33" spans="4:23" x14ac:dyDescent="0.35">
      <c r="D33" s="10" t="s">
        <v>28</v>
      </c>
      <c r="E33" s="10">
        <v>179.5</v>
      </c>
      <c r="F33" s="10">
        <v>171.6</v>
      </c>
      <c r="G33" s="10">
        <v>175.7</v>
      </c>
      <c r="H33" s="10" t="s">
        <v>28</v>
      </c>
      <c r="V33" s="133"/>
      <c r="W33" s="133"/>
    </row>
    <row r="34" spans="4:23" x14ac:dyDescent="0.35">
      <c r="D34" s="11" t="s">
        <v>29</v>
      </c>
      <c r="E34" s="11">
        <v>179.8</v>
      </c>
      <c r="F34" s="11">
        <v>178.2</v>
      </c>
      <c r="G34" s="11">
        <v>179.1</v>
      </c>
      <c r="H34" s="11" t="s">
        <v>64</v>
      </c>
      <c r="V34" s="128"/>
      <c r="W34" s="128"/>
    </row>
    <row r="35" spans="4:23" x14ac:dyDescent="0.35">
      <c r="V35" s="24"/>
    </row>
  </sheetData>
  <mergeCells count="7">
    <mergeCell ref="V34:W34"/>
    <mergeCell ref="M5:S5"/>
    <mergeCell ref="D4:H4"/>
    <mergeCell ref="D5:H5"/>
    <mergeCell ref="M25:N25"/>
    <mergeCell ref="M26:N26"/>
    <mergeCell ref="V33:W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D6DA-79E3-4F03-BEE0-18EAEA17084C}">
  <dimension ref="A5:O29"/>
  <sheetViews>
    <sheetView zoomScale="92" workbookViewId="0">
      <selection activeCell="F27" sqref="F27"/>
    </sheetView>
  </sheetViews>
  <sheetFormatPr defaultRowHeight="14.5" x14ac:dyDescent="0.35"/>
  <cols>
    <col min="4" max="4" width="9.453125" customWidth="1"/>
    <col min="5" max="5" width="15.1796875" customWidth="1"/>
    <col min="6" max="6" width="18" bestFit="1" customWidth="1"/>
    <col min="7" max="7" width="21.36328125" customWidth="1"/>
    <col min="8" max="8" width="18.7265625" customWidth="1"/>
    <col min="14" max="14" width="18.81640625" bestFit="1" customWidth="1"/>
    <col min="15" max="15" width="15.26953125" bestFit="1" customWidth="1"/>
    <col min="16" max="16" width="11.81640625" bestFit="1" customWidth="1"/>
    <col min="17" max="17" width="10.7265625" bestFit="1" customWidth="1"/>
    <col min="18" max="31" width="5.81640625" bestFit="1" customWidth="1"/>
    <col min="32" max="32" width="3.81640625" bestFit="1" customWidth="1"/>
    <col min="33" max="34" width="5.81640625" bestFit="1" customWidth="1"/>
    <col min="35" max="35" width="3.81640625" bestFit="1" customWidth="1"/>
    <col min="36" max="38" width="5.81640625" bestFit="1" customWidth="1"/>
    <col min="39" max="39" width="3.81640625" bestFit="1" customWidth="1"/>
    <col min="40" max="41" width="5.81640625" bestFit="1" customWidth="1"/>
    <col min="42" max="42" width="3.81640625" bestFit="1" customWidth="1"/>
    <col min="43" max="47" width="5.81640625" bestFit="1" customWidth="1"/>
    <col min="48" max="48" width="12" bestFit="1" customWidth="1"/>
    <col min="49" max="49" width="11.1796875" bestFit="1" customWidth="1"/>
    <col min="50" max="54" width="5.81640625" bestFit="1" customWidth="1"/>
    <col min="55" max="55" width="3.81640625" bestFit="1" customWidth="1"/>
    <col min="56" max="62" width="5.81640625" bestFit="1" customWidth="1"/>
    <col min="63" max="63" width="3.81640625" bestFit="1" customWidth="1"/>
    <col min="64" max="74" width="5.81640625" bestFit="1" customWidth="1"/>
    <col min="75" max="75" width="3.81640625" bestFit="1" customWidth="1"/>
    <col min="76" max="78" width="5.81640625" bestFit="1" customWidth="1"/>
    <col min="79" max="79" width="14.1796875" bestFit="1" customWidth="1"/>
    <col min="80" max="80" width="10.7265625" bestFit="1" customWidth="1"/>
  </cols>
  <sheetData>
    <row r="5" spans="1:14" ht="21" x14ac:dyDescent="0.5">
      <c r="A5" s="135" t="s">
        <v>87</v>
      </c>
      <c r="B5" s="135"/>
      <c r="C5" s="135"/>
      <c r="D5" s="135"/>
      <c r="E5" s="135"/>
      <c r="F5" s="135"/>
      <c r="G5" s="135"/>
      <c r="H5" s="135"/>
      <c r="I5" s="135"/>
      <c r="J5" s="135"/>
      <c r="K5" s="135"/>
      <c r="L5" s="135"/>
      <c r="M5" s="135"/>
      <c r="N5" s="135"/>
    </row>
    <row r="7" spans="1:14" ht="10.5" customHeight="1" x14ac:dyDescent="0.35"/>
    <row r="8" spans="1:14" ht="16" customHeight="1" x14ac:dyDescent="0.35">
      <c r="D8" s="29" t="s">
        <v>1</v>
      </c>
      <c r="E8" s="29" t="s">
        <v>31</v>
      </c>
      <c r="F8" s="29" t="s">
        <v>46</v>
      </c>
      <c r="G8" s="29" t="s">
        <v>117</v>
      </c>
    </row>
    <row r="9" spans="1:14" x14ac:dyDescent="0.35">
      <c r="D9" s="10">
        <v>2017</v>
      </c>
      <c r="E9" s="10">
        <v>130.30000000000001</v>
      </c>
      <c r="F9" s="10">
        <v>137.19999999999999</v>
      </c>
      <c r="G9" s="30">
        <f>(F9-E9)/E9</f>
        <v>5.295471987720627E-2</v>
      </c>
    </row>
    <row r="10" spans="1:14" x14ac:dyDescent="0.35">
      <c r="D10" s="86">
        <v>2018</v>
      </c>
      <c r="E10" s="86">
        <v>136.9</v>
      </c>
      <c r="F10" s="86">
        <v>140.1</v>
      </c>
      <c r="G10" s="87">
        <f t="shared" ref="G10:G14" si="0">(F10-E10)/E10</f>
        <v>2.3374726077428697E-2</v>
      </c>
    </row>
    <row r="11" spans="1:14" x14ac:dyDescent="0.35">
      <c r="D11" s="31">
        <v>2019</v>
      </c>
      <c r="E11" s="31">
        <v>139.6</v>
      </c>
      <c r="F11" s="31">
        <v>150.4</v>
      </c>
      <c r="G11" s="32">
        <f t="shared" si="0"/>
        <v>7.7363896848137617E-2</v>
      </c>
    </row>
    <row r="12" spans="1:14" x14ac:dyDescent="0.35">
      <c r="D12" s="10">
        <v>2020</v>
      </c>
      <c r="E12" s="10">
        <v>150.19999999999999</v>
      </c>
      <c r="F12" s="10">
        <v>158.9</v>
      </c>
      <c r="G12" s="30">
        <f t="shared" si="0"/>
        <v>5.7922769640479481E-2</v>
      </c>
    </row>
    <row r="13" spans="1:14" x14ac:dyDescent="0.35">
      <c r="D13" s="10">
        <v>2021</v>
      </c>
      <c r="E13" s="10">
        <v>157.30000000000001</v>
      </c>
      <c r="F13" s="10">
        <v>166.2</v>
      </c>
      <c r="G13" s="30">
        <f t="shared" si="0"/>
        <v>5.657978385251098E-2</v>
      </c>
    </row>
    <row r="14" spans="1:14" x14ac:dyDescent="0.35">
      <c r="D14" s="10">
        <v>2022</v>
      </c>
      <c r="E14" s="10">
        <v>165.7</v>
      </c>
      <c r="F14" s="10">
        <v>175.7</v>
      </c>
      <c r="G14" s="30">
        <f t="shared" si="0"/>
        <v>6.0350030175015092E-2</v>
      </c>
    </row>
    <row r="15" spans="1:14" x14ac:dyDescent="0.35">
      <c r="D15" s="10">
        <v>2023</v>
      </c>
      <c r="E15" s="10">
        <v>176.5</v>
      </c>
      <c r="F15" s="79" t="s">
        <v>48</v>
      </c>
      <c r="G15" s="10" t="s">
        <v>118</v>
      </c>
    </row>
    <row r="16" spans="1:14" x14ac:dyDescent="0.35">
      <c r="G16" s="78"/>
    </row>
    <row r="20" spans="2:15" ht="17.5" customHeight="1" x14ac:dyDescent="0.5">
      <c r="B20" s="33"/>
      <c r="C20" s="33"/>
      <c r="D20" s="33"/>
      <c r="E20" s="85"/>
      <c r="F20" s="88" t="s">
        <v>88</v>
      </c>
      <c r="G20" s="33"/>
    </row>
    <row r="21" spans="2:15" ht="17" customHeight="1" x14ac:dyDescent="0.35">
      <c r="E21" s="86"/>
      <c r="F21" s="88" t="s">
        <v>133</v>
      </c>
    </row>
    <row r="22" spans="2:15" ht="18.5" x14ac:dyDescent="0.45">
      <c r="B22" s="34"/>
      <c r="C22" s="34"/>
      <c r="D22" s="34"/>
      <c r="E22" s="34"/>
      <c r="F22" s="34"/>
      <c r="G22" s="34"/>
      <c r="H22" s="34"/>
    </row>
    <row r="23" spans="2:15" ht="18.5" x14ac:dyDescent="0.45">
      <c r="B23" s="89"/>
      <c r="C23" s="89"/>
      <c r="D23" s="89"/>
      <c r="E23" s="89"/>
      <c r="F23" s="89"/>
      <c r="G23" s="89"/>
      <c r="H23" s="89"/>
    </row>
    <row r="26" spans="2:15" ht="21" x14ac:dyDescent="0.5">
      <c r="I26" s="136" t="s">
        <v>119</v>
      </c>
      <c r="J26" s="136"/>
      <c r="K26" s="136"/>
      <c r="L26" s="136"/>
      <c r="M26" s="136"/>
      <c r="N26" s="136"/>
    </row>
    <row r="28" spans="2:15" ht="18.5" customHeight="1" x14ac:dyDescent="0.35">
      <c r="I28" s="134" t="s">
        <v>132</v>
      </c>
      <c r="J28" s="134"/>
      <c r="K28" s="134"/>
      <c r="L28" s="134"/>
      <c r="M28" s="134"/>
      <c r="N28" s="134"/>
      <c r="O28" s="134"/>
    </row>
    <row r="29" spans="2:15" ht="18.5" customHeight="1" x14ac:dyDescent="0.35">
      <c r="I29" s="134"/>
      <c r="J29" s="134"/>
      <c r="K29" s="134"/>
      <c r="L29" s="134"/>
      <c r="M29" s="134"/>
      <c r="N29" s="134"/>
      <c r="O29" s="134"/>
    </row>
  </sheetData>
  <mergeCells count="3">
    <mergeCell ref="I28:O29"/>
    <mergeCell ref="A5:N5"/>
    <mergeCell ref="I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8D41-CE87-4CE2-AD5E-E3641E6371F7}">
  <dimension ref="B3:Y78"/>
  <sheetViews>
    <sheetView topLeftCell="I35" zoomScale="59" zoomScaleNormal="55" workbookViewId="0">
      <selection activeCell="U76" sqref="U76"/>
    </sheetView>
  </sheetViews>
  <sheetFormatPr defaultRowHeight="14.5" x14ac:dyDescent="0.35"/>
  <cols>
    <col min="4" max="4" width="12.90625" customWidth="1"/>
    <col min="5" max="5" width="12.1796875" customWidth="1"/>
    <col min="6" max="6" width="16.08984375" customWidth="1"/>
    <col min="7" max="7" width="15.7265625" bestFit="1" customWidth="1"/>
    <col min="8" max="8" width="20.26953125" bestFit="1" customWidth="1"/>
    <col min="9" max="9" width="15.7265625" bestFit="1" customWidth="1"/>
    <col min="10" max="10" width="10.54296875" customWidth="1"/>
    <col min="11" max="11" width="15.6328125" bestFit="1" customWidth="1"/>
    <col min="16" max="16" width="30.7265625" bestFit="1" customWidth="1"/>
    <col min="17" max="17" width="20.36328125" customWidth="1"/>
    <col min="18" max="18" width="19.6328125" customWidth="1"/>
    <col min="19" max="19" width="21.453125" customWidth="1"/>
    <col min="20" max="20" width="14.81640625" customWidth="1"/>
    <col min="21" max="21" width="14.6328125" customWidth="1"/>
    <col min="22" max="22" width="19.81640625" bestFit="1" customWidth="1"/>
    <col min="23" max="23" width="12.7265625" customWidth="1"/>
    <col min="24" max="24" width="12.90625" customWidth="1"/>
    <col min="25" max="25" width="19.81640625" bestFit="1" customWidth="1"/>
  </cols>
  <sheetData>
    <row r="3" spans="2:25" x14ac:dyDescent="0.35">
      <c r="C3" t="s">
        <v>134</v>
      </c>
      <c r="P3" t="s">
        <v>135</v>
      </c>
    </row>
    <row r="4" spans="2:25" ht="31" x14ac:dyDescent="0.7">
      <c r="B4" s="138" t="s">
        <v>140</v>
      </c>
      <c r="C4" s="138"/>
      <c r="D4" s="138"/>
      <c r="E4" s="138"/>
      <c r="F4" s="138"/>
      <c r="G4" s="138"/>
      <c r="H4" s="138"/>
      <c r="I4" s="138"/>
      <c r="J4" s="138"/>
      <c r="K4" s="138"/>
      <c r="L4" s="138"/>
      <c r="P4" s="138" t="s">
        <v>152</v>
      </c>
      <c r="Q4" s="138"/>
      <c r="R4" s="138"/>
      <c r="S4" s="138"/>
      <c r="T4" s="138"/>
      <c r="U4" s="138"/>
      <c r="V4" s="138"/>
      <c r="W4" s="138"/>
      <c r="X4" s="138"/>
      <c r="Y4" s="138"/>
    </row>
    <row r="5" spans="2:25" ht="26" x14ac:dyDescent="0.6">
      <c r="B5" s="91"/>
      <c r="C5" s="91"/>
      <c r="D5" s="91"/>
      <c r="E5" s="91"/>
      <c r="F5" s="91"/>
      <c r="G5" s="91"/>
      <c r="H5" s="91"/>
      <c r="I5" s="91"/>
      <c r="J5" s="91"/>
      <c r="K5" s="91"/>
      <c r="L5" s="91"/>
      <c r="P5" s="43"/>
      <c r="Q5" s="43"/>
      <c r="R5" s="43"/>
      <c r="S5" s="43"/>
      <c r="T5" s="43"/>
      <c r="U5" s="43"/>
      <c r="V5" s="43"/>
      <c r="W5" s="43"/>
      <c r="X5" s="43"/>
      <c r="Y5" s="43"/>
    </row>
    <row r="6" spans="2:25" x14ac:dyDescent="0.35">
      <c r="E6" s="140"/>
      <c r="F6" s="140"/>
    </row>
    <row r="7" spans="2:25" x14ac:dyDescent="0.35">
      <c r="D7" s="40" t="s">
        <v>89</v>
      </c>
      <c r="E7" s="40" t="s">
        <v>2</v>
      </c>
      <c r="F7" s="40" t="s">
        <v>137</v>
      </c>
      <c r="G7" s="40" t="s">
        <v>138</v>
      </c>
      <c r="H7" s="40" t="s">
        <v>139</v>
      </c>
      <c r="P7" s="141" t="s">
        <v>93</v>
      </c>
      <c r="Q7" s="139" t="s">
        <v>34</v>
      </c>
      <c r="R7" s="139"/>
      <c r="S7" s="139"/>
      <c r="T7" s="139" t="s">
        <v>30</v>
      </c>
      <c r="U7" s="139"/>
      <c r="V7" s="139"/>
      <c r="W7" s="146" t="s">
        <v>33</v>
      </c>
      <c r="X7" s="147"/>
      <c r="Y7" s="148"/>
    </row>
    <row r="8" spans="2:25" x14ac:dyDescent="0.35">
      <c r="D8" s="10">
        <v>2022</v>
      </c>
      <c r="E8" s="10" t="s">
        <v>38</v>
      </c>
      <c r="F8" s="62"/>
      <c r="G8" s="62"/>
      <c r="H8" s="30"/>
      <c r="P8" s="142"/>
      <c r="Q8" s="39">
        <v>44713</v>
      </c>
      <c r="R8" s="39">
        <v>45047</v>
      </c>
      <c r="S8" s="39" t="s">
        <v>151</v>
      </c>
      <c r="T8" s="39">
        <v>44713</v>
      </c>
      <c r="U8" s="39">
        <v>45047</v>
      </c>
      <c r="V8" s="39" t="s">
        <v>151</v>
      </c>
      <c r="W8" s="39">
        <v>44713</v>
      </c>
      <c r="X8" s="39">
        <v>45047</v>
      </c>
      <c r="Y8" s="40" t="s">
        <v>151</v>
      </c>
    </row>
    <row r="9" spans="2:25" x14ac:dyDescent="0.35">
      <c r="D9" s="86">
        <v>2022</v>
      </c>
      <c r="E9" s="86" t="s">
        <v>39</v>
      </c>
      <c r="F9" s="87">
        <v>9.6551104724268005E-3</v>
      </c>
      <c r="G9" s="87">
        <v>1.11838033772433E-2</v>
      </c>
      <c r="H9" s="87">
        <v>1.0272901871454526E-2</v>
      </c>
      <c r="P9" s="38" t="s">
        <v>3</v>
      </c>
      <c r="Q9" s="10">
        <v>155</v>
      </c>
      <c r="R9" s="10">
        <v>173.7</v>
      </c>
      <c r="S9" s="92">
        <f>(R9-Q9)</f>
        <v>18.699999999999989</v>
      </c>
      <c r="T9" s="10">
        <v>153.80000000000001</v>
      </c>
      <c r="U9" s="10">
        <v>173.2</v>
      </c>
      <c r="V9" s="92">
        <f>(U9-T9)</f>
        <v>19.399999999999977</v>
      </c>
      <c r="W9" s="10">
        <v>157.5</v>
      </c>
      <c r="X9" s="10">
        <v>174.7</v>
      </c>
      <c r="Y9" s="92">
        <f>(X9-W9)</f>
        <v>17.199999999999989</v>
      </c>
    </row>
    <row r="10" spans="2:25" x14ac:dyDescent="0.35">
      <c r="D10" s="10">
        <v>2022</v>
      </c>
      <c r="E10" s="10" t="s">
        <v>40</v>
      </c>
      <c r="F10" s="62">
        <v>1.8680781034558635E-3</v>
      </c>
      <c r="G10" s="62">
        <v>1.7923497267759165E-3</v>
      </c>
      <c r="H10" s="30">
        <v>1.9452672531942573E-3</v>
      </c>
      <c r="P10" s="38" t="s">
        <v>4</v>
      </c>
      <c r="Q10" s="10">
        <v>219.4</v>
      </c>
      <c r="R10" s="10">
        <v>214.3</v>
      </c>
      <c r="S10" s="92">
        <f t="shared" ref="S10:S21" si="0">(R10-Q10)</f>
        <v>-5.0999999999999943</v>
      </c>
      <c r="T10" s="10">
        <v>217.2</v>
      </c>
      <c r="U10" s="10">
        <v>211.5</v>
      </c>
      <c r="V10" s="92">
        <f t="shared" ref="V10:V21" si="1">(U10-T10)</f>
        <v>-5.6999999999999886</v>
      </c>
      <c r="W10" s="10">
        <v>223.4</v>
      </c>
      <c r="X10" s="10">
        <v>219.4</v>
      </c>
      <c r="Y10" s="92">
        <f t="shared" ref="Y10:Y21" si="2">(X10-W10)</f>
        <v>-4</v>
      </c>
    </row>
    <row r="11" spans="2:25" x14ac:dyDescent="0.35">
      <c r="D11" s="10">
        <v>2022</v>
      </c>
      <c r="E11" s="10" t="s">
        <v>41</v>
      </c>
      <c r="F11" s="62">
        <v>1.4650388457268489E-3</v>
      </c>
      <c r="G11" s="62">
        <v>9.1639029499036005E-4</v>
      </c>
      <c r="H11" s="30">
        <v>1.279618761858576E-3</v>
      </c>
      <c r="P11" s="38" t="s">
        <v>5</v>
      </c>
      <c r="Q11" s="10">
        <v>170.8</v>
      </c>
      <c r="R11" s="10">
        <v>173.2</v>
      </c>
      <c r="S11" s="92">
        <f t="shared" si="0"/>
        <v>2.3999999999999773</v>
      </c>
      <c r="T11" s="10">
        <v>169.6</v>
      </c>
      <c r="U11" s="10">
        <v>171</v>
      </c>
      <c r="V11" s="92">
        <f t="shared" si="1"/>
        <v>1.4000000000000057</v>
      </c>
      <c r="W11" s="10">
        <v>172.8</v>
      </c>
      <c r="X11" s="10">
        <v>176.7</v>
      </c>
      <c r="Y11" s="92">
        <f t="shared" si="2"/>
        <v>3.8999999999999773</v>
      </c>
    </row>
    <row r="12" spans="2:25" x14ac:dyDescent="0.35">
      <c r="D12" s="10">
        <v>2022</v>
      </c>
      <c r="E12" s="10" t="s">
        <v>42</v>
      </c>
      <c r="F12" s="62">
        <v>5.3196205337354627E-3</v>
      </c>
      <c r="G12" s="62">
        <v>5.5369054366308902E-3</v>
      </c>
      <c r="H12" s="30">
        <v>5.1560021152828386E-3</v>
      </c>
      <c r="P12" s="38" t="s">
        <v>6</v>
      </c>
      <c r="Q12" s="10">
        <v>165.8</v>
      </c>
      <c r="R12" s="10">
        <v>179.5</v>
      </c>
      <c r="S12" s="92">
        <f t="shared" si="0"/>
        <v>13.699999999999989</v>
      </c>
      <c r="T12" s="10">
        <v>165.4</v>
      </c>
      <c r="U12" s="10">
        <v>179.6</v>
      </c>
      <c r="V12" s="92">
        <f t="shared" si="1"/>
        <v>14.199999999999989</v>
      </c>
      <c r="W12" s="10">
        <v>166.4</v>
      </c>
      <c r="X12" s="10">
        <v>179.4</v>
      </c>
      <c r="Y12" s="92">
        <f t="shared" si="2"/>
        <v>13</v>
      </c>
    </row>
    <row r="13" spans="2:25" x14ac:dyDescent="0.35">
      <c r="D13" s="10">
        <v>2022</v>
      </c>
      <c r="E13" s="10" t="s">
        <v>43</v>
      </c>
      <c r="F13" s="62">
        <v>7.3639650762853063E-3</v>
      </c>
      <c r="G13" s="62">
        <v>6.8938605619147117E-3</v>
      </c>
      <c r="H13" s="30">
        <v>7.1901442413082953E-3</v>
      </c>
      <c r="P13" s="38" t="s">
        <v>7</v>
      </c>
      <c r="Q13" s="10">
        <v>200.9</v>
      </c>
      <c r="R13" s="10">
        <v>170</v>
      </c>
      <c r="S13" s="92">
        <f t="shared" si="0"/>
        <v>-30.900000000000006</v>
      </c>
      <c r="T13" s="10">
        <v>208.1</v>
      </c>
      <c r="U13" s="10">
        <v>173.3</v>
      </c>
      <c r="V13" s="92">
        <f t="shared" si="1"/>
        <v>-34.799999999999983</v>
      </c>
      <c r="W13" s="10">
        <v>188.6</v>
      </c>
      <c r="X13" s="10">
        <v>164.4</v>
      </c>
      <c r="Y13" s="92">
        <f t="shared" si="2"/>
        <v>-24.199999999999989</v>
      </c>
    </row>
    <row r="14" spans="2:25" x14ac:dyDescent="0.35">
      <c r="D14" s="10">
        <v>2022</v>
      </c>
      <c r="E14" s="10" t="s">
        <v>45</v>
      </c>
      <c r="F14" s="62">
        <v>1.4007441453271255E-3</v>
      </c>
      <c r="G14" s="62">
        <v>-3.4017999397149765E-3</v>
      </c>
      <c r="H14" s="30">
        <v>-2.1764680276846731E-4</v>
      </c>
      <c r="P14" s="38" t="s">
        <v>8</v>
      </c>
      <c r="Q14" s="10">
        <v>169.7</v>
      </c>
      <c r="R14" s="10">
        <v>172.2</v>
      </c>
      <c r="S14" s="92">
        <f t="shared" si="0"/>
        <v>2.5</v>
      </c>
      <c r="T14" s="10">
        <v>165.8</v>
      </c>
      <c r="U14" s="10">
        <v>169</v>
      </c>
      <c r="V14" s="92">
        <f t="shared" si="1"/>
        <v>3.1999999999999886</v>
      </c>
      <c r="W14" s="10">
        <v>174.1</v>
      </c>
      <c r="X14" s="10">
        <v>175.8</v>
      </c>
      <c r="Y14" s="92">
        <f t="shared" si="2"/>
        <v>1.7000000000000171</v>
      </c>
    </row>
    <row r="15" spans="2:25" x14ac:dyDescent="0.35">
      <c r="D15" s="51">
        <v>2022</v>
      </c>
      <c r="E15" s="51" t="s">
        <v>46</v>
      </c>
      <c r="F15" s="94">
        <v>-4.6334746688813698E-3</v>
      </c>
      <c r="G15" s="94">
        <v>-8.0366401659178899E-3</v>
      </c>
      <c r="H15" s="94">
        <v>-5.8342041100662182E-3</v>
      </c>
      <c r="P15" s="38" t="s">
        <v>9</v>
      </c>
      <c r="Q15" s="10">
        <v>182.3</v>
      </c>
      <c r="R15" s="10">
        <v>161</v>
      </c>
      <c r="S15" s="92">
        <f t="shared" si="0"/>
        <v>-21.300000000000011</v>
      </c>
      <c r="T15" s="10">
        <v>167.3</v>
      </c>
      <c r="U15" s="10">
        <v>148.69999999999999</v>
      </c>
      <c r="V15" s="92">
        <f t="shared" si="1"/>
        <v>-18.600000000000023</v>
      </c>
      <c r="W15" s="10">
        <v>211.5</v>
      </c>
      <c r="X15" s="10">
        <v>185</v>
      </c>
      <c r="Y15" s="92">
        <f t="shared" si="2"/>
        <v>-26.5</v>
      </c>
    </row>
    <row r="16" spans="2:25" x14ac:dyDescent="0.35">
      <c r="D16" s="10">
        <v>2023</v>
      </c>
      <c r="E16" s="10" t="s">
        <v>31</v>
      </c>
      <c r="F16" s="62">
        <v>2.678845900487622E-3</v>
      </c>
      <c r="G16" s="62">
        <v>6.2723233731163631E-3</v>
      </c>
      <c r="H16" s="30">
        <v>4.0728737847068961E-3</v>
      </c>
      <c r="P16" s="38" t="s">
        <v>10</v>
      </c>
      <c r="Q16" s="10">
        <v>164.3</v>
      </c>
      <c r="R16" s="10">
        <v>175.6</v>
      </c>
      <c r="S16" s="92">
        <f t="shared" si="0"/>
        <v>11.299999999999983</v>
      </c>
      <c r="T16" s="10">
        <v>164.6</v>
      </c>
      <c r="U16" s="10">
        <v>174.9</v>
      </c>
      <c r="V16" s="92">
        <f t="shared" si="1"/>
        <v>10.300000000000011</v>
      </c>
      <c r="W16" s="10">
        <v>163.6</v>
      </c>
      <c r="X16" s="10">
        <v>176.9</v>
      </c>
      <c r="Y16" s="92">
        <f t="shared" si="2"/>
        <v>13.300000000000011</v>
      </c>
    </row>
    <row r="17" spans="4:25" x14ac:dyDescent="0.35">
      <c r="D17" s="51">
        <v>2023</v>
      </c>
      <c r="E17" s="51" t="s">
        <v>35</v>
      </c>
      <c r="F17" s="94">
        <v>-7.6646811492643886E-3</v>
      </c>
      <c r="G17" s="94">
        <v>-3.0300406891180217E-3</v>
      </c>
      <c r="H17" s="94">
        <v>-5.9318707201116193E-3</v>
      </c>
      <c r="P17" s="38" t="s">
        <v>11</v>
      </c>
      <c r="Q17" s="10">
        <v>119.9</v>
      </c>
      <c r="R17" s="10">
        <v>122.7</v>
      </c>
      <c r="S17" s="92">
        <f t="shared" si="0"/>
        <v>2.7999999999999972</v>
      </c>
      <c r="T17" s="10">
        <v>119.1</v>
      </c>
      <c r="U17" s="10">
        <v>121.9</v>
      </c>
      <c r="V17" s="92">
        <f t="shared" si="1"/>
        <v>2.8000000000000114</v>
      </c>
      <c r="W17" s="10">
        <v>121.4</v>
      </c>
      <c r="X17" s="10">
        <v>124.2</v>
      </c>
      <c r="Y17" s="92">
        <f t="shared" si="2"/>
        <v>2.7999999999999972</v>
      </c>
    </row>
    <row r="18" spans="4:25" x14ac:dyDescent="0.35">
      <c r="D18" s="10">
        <v>2023</v>
      </c>
      <c r="E18" s="10" t="s">
        <v>36</v>
      </c>
      <c r="F18" s="62">
        <v>4.4136469965292762E-5</v>
      </c>
      <c r="G18" s="62">
        <v>8.6835706842772171E-5</v>
      </c>
      <c r="H18" s="30">
        <v>4.3876968978943027E-5</v>
      </c>
      <c r="P18" s="38" t="s">
        <v>12</v>
      </c>
      <c r="Q18" s="10">
        <v>187.1</v>
      </c>
      <c r="R18" s="10">
        <v>218</v>
      </c>
      <c r="S18" s="92">
        <f t="shared" si="0"/>
        <v>30.900000000000006</v>
      </c>
      <c r="T18" s="10">
        <v>188.9</v>
      </c>
      <c r="U18" s="10">
        <v>221</v>
      </c>
      <c r="V18" s="92">
        <f t="shared" si="1"/>
        <v>32.099999999999994</v>
      </c>
      <c r="W18" s="10">
        <v>183.5</v>
      </c>
      <c r="X18" s="10">
        <v>211.9</v>
      </c>
      <c r="Y18" s="92">
        <f t="shared" si="2"/>
        <v>28.400000000000006</v>
      </c>
    </row>
    <row r="19" spans="4:25" x14ac:dyDescent="0.35">
      <c r="D19" s="10">
        <v>2023</v>
      </c>
      <c r="E19" s="10" t="s">
        <v>37</v>
      </c>
      <c r="F19" s="62">
        <v>3.7072998499424643E-3</v>
      </c>
      <c r="G19" s="62">
        <v>6.2082139446037084E-3</v>
      </c>
      <c r="H19" s="30">
        <v>4.5630045630048032E-3</v>
      </c>
      <c r="P19" s="38" t="s">
        <v>13</v>
      </c>
      <c r="Q19" s="10">
        <v>167.9</v>
      </c>
      <c r="R19" s="10">
        <v>173.4</v>
      </c>
      <c r="S19" s="92">
        <f t="shared" si="0"/>
        <v>5.5</v>
      </c>
      <c r="T19" s="10">
        <v>174.2</v>
      </c>
      <c r="U19" s="10">
        <v>178.7</v>
      </c>
      <c r="V19" s="92">
        <f t="shared" si="1"/>
        <v>4.5</v>
      </c>
      <c r="W19" s="10">
        <v>159.1</v>
      </c>
      <c r="X19" s="10">
        <v>165.9</v>
      </c>
      <c r="Y19" s="92">
        <f t="shared" si="2"/>
        <v>6.8000000000000114</v>
      </c>
    </row>
    <row r="20" spans="4:25" x14ac:dyDescent="0.35">
      <c r="D20" s="10">
        <v>2023</v>
      </c>
      <c r="E20" s="10" t="s">
        <v>38</v>
      </c>
      <c r="F20" s="62">
        <v>7.2552985665292899E-3</v>
      </c>
      <c r="G20" s="62">
        <v>7.5074427233894096E-3</v>
      </c>
      <c r="H20" s="30">
        <v>7.5559049615652185E-3</v>
      </c>
      <c r="P20" s="38" t="s">
        <v>14</v>
      </c>
      <c r="Q20" s="10">
        <v>183.9</v>
      </c>
      <c r="R20" s="10">
        <v>194.2</v>
      </c>
      <c r="S20" s="92">
        <f t="shared" si="0"/>
        <v>10.299999999999983</v>
      </c>
      <c r="T20" s="10">
        <v>181.9</v>
      </c>
      <c r="U20" s="10">
        <v>191.1</v>
      </c>
      <c r="V20" s="92">
        <f t="shared" si="1"/>
        <v>9.1999999999999886</v>
      </c>
      <c r="W20" s="10">
        <v>186.3</v>
      </c>
      <c r="X20" s="10">
        <v>197.7</v>
      </c>
      <c r="Y20" s="92">
        <f t="shared" si="2"/>
        <v>11.399999999999977</v>
      </c>
    </row>
    <row r="21" spans="4:25" x14ac:dyDescent="0.35">
      <c r="P21" s="38" t="s">
        <v>15</v>
      </c>
      <c r="Q21" s="10">
        <v>174.9</v>
      </c>
      <c r="R21" s="10">
        <v>179.1</v>
      </c>
      <c r="S21" s="92">
        <f t="shared" si="0"/>
        <v>4.1999999999999886</v>
      </c>
      <c r="T21" s="10">
        <v>172.4</v>
      </c>
      <c r="U21" s="10">
        <v>176.8</v>
      </c>
      <c r="V21" s="92">
        <f t="shared" si="1"/>
        <v>4.4000000000000057</v>
      </c>
      <c r="W21" s="10">
        <v>179.3</v>
      </c>
      <c r="X21" s="10">
        <v>183.1</v>
      </c>
      <c r="Y21" s="92">
        <f t="shared" si="2"/>
        <v>3.7999999999999829</v>
      </c>
    </row>
    <row r="24" spans="4:25" x14ac:dyDescent="0.35">
      <c r="E24" s="4"/>
      <c r="F24" s="4"/>
    </row>
    <row r="25" spans="4:25" x14ac:dyDescent="0.35">
      <c r="D25" s="40"/>
      <c r="E25" s="40"/>
      <c r="F25" s="143" t="s">
        <v>30</v>
      </c>
      <c r="G25" s="143"/>
      <c r="H25" s="143" t="s">
        <v>33</v>
      </c>
      <c r="I25" s="143"/>
      <c r="J25" s="143" t="s">
        <v>34</v>
      </c>
      <c r="K25" s="143"/>
    </row>
    <row r="26" spans="4:25" x14ac:dyDescent="0.35">
      <c r="D26" s="40" t="s">
        <v>89</v>
      </c>
      <c r="E26" s="40" t="s">
        <v>2</v>
      </c>
      <c r="F26" s="40" t="s">
        <v>90</v>
      </c>
      <c r="G26" s="40" t="s">
        <v>91</v>
      </c>
      <c r="H26" s="40" t="s">
        <v>90</v>
      </c>
      <c r="I26" s="40" t="s">
        <v>91</v>
      </c>
      <c r="J26" s="40" t="s">
        <v>90</v>
      </c>
      <c r="K26" s="40" t="s">
        <v>91</v>
      </c>
      <c r="P26" s="141" t="s">
        <v>93</v>
      </c>
      <c r="Q26" s="40" t="s">
        <v>34</v>
      </c>
      <c r="R26" s="40" t="s">
        <v>30</v>
      </c>
      <c r="S26" s="40" t="s">
        <v>33</v>
      </c>
    </row>
    <row r="27" spans="4:25" x14ac:dyDescent="0.35">
      <c r="D27" s="10">
        <v>2022</v>
      </c>
      <c r="E27" s="10" t="s">
        <v>38</v>
      </c>
      <c r="F27" s="10">
        <v>2226.8000000000002</v>
      </c>
      <c r="G27" s="10"/>
      <c r="H27" s="10">
        <v>2262.2000000000003</v>
      </c>
      <c r="I27" s="10"/>
      <c r="J27" s="10">
        <v>2262.2000000000003</v>
      </c>
      <c r="K27" s="10"/>
      <c r="P27" s="142"/>
      <c r="Q27" s="40" t="s">
        <v>151</v>
      </c>
      <c r="R27" s="40" t="s">
        <v>151</v>
      </c>
      <c r="S27" s="40" t="s">
        <v>151</v>
      </c>
    </row>
    <row r="28" spans="4:25" x14ac:dyDescent="0.35">
      <c r="D28" s="10">
        <v>2022</v>
      </c>
      <c r="E28" s="10" t="s">
        <v>39</v>
      </c>
      <c r="F28" s="10">
        <v>2248.3000000000002</v>
      </c>
      <c r="G28" s="30">
        <f>(F28-F27)/F27</f>
        <v>9.6551104724268005E-3</v>
      </c>
      <c r="H28" s="10">
        <v>2287.5</v>
      </c>
      <c r="I28" s="30">
        <v>1.1183803377243269E-2</v>
      </c>
      <c r="J28" s="10">
        <v>2287.5</v>
      </c>
      <c r="K28" s="30">
        <v>1.0272901871454526E-2</v>
      </c>
      <c r="P28" s="38" t="s">
        <v>3</v>
      </c>
      <c r="Q28" s="92">
        <v>18.699999999999989</v>
      </c>
      <c r="R28" s="92">
        <v>19.399999999999977</v>
      </c>
      <c r="S28" s="92">
        <v>17.199999999999989</v>
      </c>
    </row>
    <row r="29" spans="4:25" x14ac:dyDescent="0.35">
      <c r="D29" s="10">
        <v>2022</v>
      </c>
      <c r="E29" s="10" t="s">
        <v>40</v>
      </c>
      <c r="F29" s="10">
        <v>2252.5</v>
      </c>
      <c r="G29" s="30">
        <f t="shared" ref="G29:G39" si="3">(F29-F28)/F28</f>
        <v>1.8680781034558635E-3</v>
      </c>
      <c r="H29" s="10">
        <v>2291.6</v>
      </c>
      <c r="I29" s="30">
        <v>1.7923497267759165E-3</v>
      </c>
      <c r="J29" s="10">
        <v>2291.6</v>
      </c>
      <c r="K29" s="30">
        <v>1.9452672531942573E-3</v>
      </c>
      <c r="P29" s="38" t="s">
        <v>4</v>
      </c>
      <c r="Q29" s="92">
        <v>-5.0999999999999943</v>
      </c>
      <c r="R29" s="92">
        <v>-5.6999999999999886</v>
      </c>
      <c r="S29" s="92">
        <v>-4</v>
      </c>
    </row>
    <row r="30" spans="4:25" x14ac:dyDescent="0.35">
      <c r="D30" s="10">
        <v>2022</v>
      </c>
      <c r="E30" s="10" t="s">
        <v>41</v>
      </c>
      <c r="F30" s="10">
        <v>2255.7999999999997</v>
      </c>
      <c r="G30" s="30">
        <f t="shared" si="3"/>
        <v>1.4650388457268489E-3</v>
      </c>
      <c r="H30" s="10">
        <v>2293.6999999999998</v>
      </c>
      <c r="I30" s="30">
        <v>9.1639029499036005E-4</v>
      </c>
      <c r="J30" s="10">
        <v>2293.6999999999998</v>
      </c>
      <c r="K30" s="30">
        <v>1.279618761858576E-3</v>
      </c>
      <c r="P30" s="38" t="s">
        <v>5</v>
      </c>
      <c r="Q30" s="92">
        <v>2.3999999999999773</v>
      </c>
      <c r="R30" s="92">
        <v>1.4000000000000057</v>
      </c>
      <c r="S30" s="92">
        <v>3.8999999999999773</v>
      </c>
    </row>
    <row r="31" spans="4:25" x14ac:dyDescent="0.35">
      <c r="D31" s="10">
        <v>2022</v>
      </c>
      <c r="E31" s="10" t="s">
        <v>42</v>
      </c>
      <c r="F31" s="10">
        <v>2267.8000000000002</v>
      </c>
      <c r="G31" s="30">
        <f t="shared" si="3"/>
        <v>5.3196205337354627E-3</v>
      </c>
      <c r="H31" s="10">
        <v>2306.4</v>
      </c>
      <c r="I31" s="30">
        <v>5.5369054366308902E-3</v>
      </c>
      <c r="J31" s="10">
        <v>2306.4</v>
      </c>
      <c r="K31" s="30">
        <v>5.1560021152828386E-3</v>
      </c>
      <c r="P31" s="38" t="s">
        <v>6</v>
      </c>
      <c r="Q31" s="92">
        <v>13.699999999999989</v>
      </c>
      <c r="R31" s="92">
        <v>14.199999999999989</v>
      </c>
      <c r="S31" s="92">
        <v>13</v>
      </c>
    </row>
    <row r="32" spans="4:25" x14ac:dyDescent="0.35">
      <c r="D32" s="10">
        <v>2022</v>
      </c>
      <c r="E32" s="10" t="s">
        <v>43</v>
      </c>
      <c r="F32" s="10">
        <v>2284.5</v>
      </c>
      <c r="G32" s="30">
        <f t="shared" si="3"/>
        <v>7.3639650762853063E-3</v>
      </c>
      <c r="H32" s="10">
        <v>2322.3000000000002</v>
      </c>
      <c r="I32" s="30">
        <v>6.8938605619147117E-3</v>
      </c>
      <c r="J32" s="10">
        <v>2322.3000000000002</v>
      </c>
      <c r="K32" s="30">
        <v>7.1901442413082953E-3</v>
      </c>
      <c r="P32" s="38" t="s">
        <v>7</v>
      </c>
      <c r="Q32" s="92">
        <v>-30.900000000000006</v>
      </c>
      <c r="R32" s="92">
        <v>-34.799999999999983</v>
      </c>
      <c r="S32" s="92">
        <v>-24.199999999999989</v>
      </c>
    </row>
    <row r="33" spans="4:19" x14ac:dyDescent="0.35">
      <c r="D33" s="10">
        <v>2022</v>
      </c>
      <c r="E33" s="10" t="s">
        <v>45</v>
      </c>
      <c r="F33" s="10">
        <v>2287.6999999999998</v>
      </c>
      <c r="G33" s="30">
        <f t="shared" si="3"/>
        <v>1.4007441453271255E-3</v>
      </c>
      <c r="H33" s="10">
        <v>2314.4</v>
      </c>
      <c r="I33" s="30">
        <v>-3.4017999397149765E-3</v>
      </c>
      <c r="J33" s="10">
        <v>2314.4</v>
      </c>
      <c r="K33" s="30">
        <v>-2.1764680276846731E-4</v>
      </c>
      <c r="P33" s="38" t="s">
        <v>8</v>
      </c>
      <c r="Q33" s="92">
        <v>2.5</v>
      </c>
      <c r="R33" s="92">
        <v>3.1999999999999886</v>
      </c>
      <c r="S33" s="92">
        <v>1.7000000000000171</v>
      </c>
    </row>
    <row r="34" spans="4:19" x14ac:dyDescent="0.35">
      <c r="D34" s="10">
        <v>2022</v>
      </c>
      <c r="E34" s="10" t="s">
        <v>46</v>
      </c>
      <c r="F34" s="10">
        <v>2277.1</v>
      </c>
      <c r="G34" s="30">
        <f t="shared" si="3"/>
        <v>-4.6334746688813698E-3</v>
      </c>
      <c r="H34" s="10">
        <v>2295.7999999999997</v>
      </c>
      <c r="I34" s="30">
        <v>-8.0366401659178899E-3</v>
      </c>
      <c r="J34" s="10">
        <v>2295.7999999999997</v>
      </c>
      <c r="K34" s="30">
        <v>-5.8342041100662182E-3</v>
      </c>
      <c r="P34" s="38" t="s">
        <v>9</v>
      </c>
      <c r="Q34" s="92">
        <v>-21.300000000000011</v>
      </c>
      <c r="R34" s="92">
        <v>-18.600000000000023</v>
      </c>
      <c r="S34" s="92">
        <v>-26.5</v>
      </c>
    </row>
    <row r="35" spans="4:19" x14ac:dyDescent="0.35">
      <c r="D35" s="10">
        <v>2023</v>
      </c>
      <c r="E35" s="10" t="s">
        <v>31</v>
      </c>
      <c r="F35" s="10">
        <v>2283.2000000000003</v>
      </c>
      <c r="G35" s="30">
        <f t="shared" si="3"/>
        <v>2.678845900487622E-3</v>
      </c>
      <c r="H35" s="10">
        <v>2310.2000000000003</v>
      </c>
      <c r="I35" s="30">
        <v>6.2723233731163631E-3</v>
      </c>
      <c r="J35" s="10">
        <v>2310.2000000000003</v>
      </c>
      <c r="K35" s="30">
        <v>4.0728737847068961E-3</v>
      </c>
      <c r="P35" s="38" t="s">
        <v>10</v>
      </c>
      <c r="Q35" s="92">
        <v>11.299999999999983</v>
      </c>
      <c r="R35" s="92">
        <v>10.300000000000011</v>
      </c>
      <c r="S35" s="92">
        <v>13.300000000000011</v>
      </c>
    </row>
    <row r="36" spans="4:19" x14ac:dyDescent="0.35">
      <c r="D36" s="10">
        <v>2023</v>
      </c>
      <c r="E36" s="10" t="s">
        <v>35</v>
      </c>
      <c r="F36" s="10">
        <v>2265.6999999999998</v>
      </c>
      <c r="G36" s="30">
        <f t="shared" si="3"/>
        <v>-7.6646811492643886E-3</v>
      </c>
      <c r="H36" s="10">
        <v>2303.1999999999998</v>
      </c>
      <c r="I36" s="30">
        <v>-3.0300406891180217E-3</v>
      </c>
      <c r="J36" s="10">
        <v>2303.1999999999998</v>
      </c>
      <c r="K36" s="30">
        <v>-5.9318707201116193E-3</v>
      </c>
      <c r="P36" s="38" t="s">
        <v>11</v>
      </c>
      <c r="Q36" s="92">
        <v>2.7999999999999972</v>
      </c>
      <c r="R36" s="92">
        <v>2.8000000000000114</v>
      </c>
      <c r="S36" s="92">
        <v>2.7999999999999972</v>
      </c>
    </row>
    <row r="37" spans="4:19" x14ac:dyDescent="0.35">
      <c r="D37" s="10">
        <v>2023</v>
      </c>
      <c r="E37" s="10" t="s">
        <v>36</v>
      </c>
      <c r="F37" s="10">
        <v>2265.8000000000002</v>
      </c>
      <c r="G37" s="30">
        <f t="shared" si="3"/>
        <v>4.4136469965292762E-5</v>
      </c>
      <c r="H37" s="10">
        <v>2303.4</v>
      </c>
      <c r="I37" s="30">
        <v>8.6835706842772171E-5</v>
      </c>
      <c r="J37" s="10">
        <v>2303.4</v>
      </c>
      <c r="K37" s="30">
        <v>4.3876968978943027E-5</v>
      </c>
      <c r="P37" s="90" t="s">
        <v>12</v>
      </c>
      <c r="Q37" s="93">
        <v>30.900000000000006</v>
      </c>
      <c r="R37" s="93">
        <v>32.099999999999994</v>
      </c>
      <c r="S37" s="93">
        <v>28.400000000000006</v>
      </c>
    </row>
    <row r="38" spans="4:19" x14ac:dyDescent="0.35">
      <c r="D38" s="10">
        <v>2023</v>
      </c>
      <c r="E38" s="10" t="s">
        <v>37</v>
      </c>
      <c r="F38" s="10">
        <v>2274.1999999999998</v>
      </c>
      <c r="G38" s="30">
        <f t="shared" si="3"/>
        <v>3.7072998499424643E-3</v>
      </c>
      <c r="H38" s="10">
        <v>2317.7000000000003</v>
      </c>
      <c r="I38" s="30">
        <v>6.2082139446037084E-3</v>
      </c>
      <c r="J38" s="10">
        <v>2317.7000000000003</v>
      </c>
      <c r="K38" s="30">
        <v>4.5630045630048032E-3</v>
      </c>
      <c r="P38" s="38" t="s">
        <v>13</v>
      </c>
      <c r="Q38" s="92">
        <v>5.5</v>
      </c>
      <c r="R38" s="92">
        <v>4.5</v>
      </c>
      <c r="S38" s="92">
        <v>6.8000000000000114</v>
      </c>
    </row>
    <row r="39" spans="4:19" x14ac:dyDescent="0.35">
      <c r="D39" s="10">
        <v>2023</v>
      </c>
      <c r="E39" s="10" t="s">
        <v>38</v>
      </c>
      <c r="F39" s="10">
        <v>2290.7000000000007</v>
      </c>
      <c r="G39" s="30">
        <f t="shared" si="3"/>
        <v>7.2552985665292899E-3</v>
      </c>
      <c r="H39" s="10">
        <v>2335.1</v>
      </c>
      <c r="I39" s="30">
        <v>7.5074427233894096E-3</v>
      </c>
      <c r="J39" s="10">
        <v>2335.1</v>
      </c>
      <c r="K39" s="30">
        <v>7.5559049615652185E-3</v>
      </c>
      <c r="P39" s="38" t="s">
        <v>14</v>
      </c>
      <c r="Q39" s="92">
        <v>10.299999999999983</v>
      </c>
      <c r="R39" s="92">
        <v>9.1999999999999886</v>
      </c>
      <c r="S39" s="92">
        <v>11.399999999999977</v>
      </c>
    </row>
    <row r="40" spans="4:19" x14ac:dyDescent="0.35">
      <c r="G40" s="14"/>
      <c r="P40" s="38" t="s">
        <v>15</v>
      </c>
      <c r="Q40" s="92">
        <v>4.1999999999999886</v>
      </c>
      <c r="R40" s="92">
        <v>4.4000000000000057</v>
      </c>
      <c r="S40" s="92">
        <v>3.7999999999999829</v>
      </c>
    </row>
    <row r="41" spans="4:19" x14ac:dyDescent="0.35">
      <c r="G41" s="14"/>
    </row>
    <row r="42" spans="4:19" x14ac:dyDescent="0.35">
      <c r="D42" s="1" t="s">
        <v>153</v>
      </c>
      <c r="G42" s="64"/>
    </row>
    <row r="43" spans="4:19" x14ac:dyDescent="0.35">
      <c r="E43" s="140"/>
      <c r="F43" s="140"/>
      <c r="G43" s="64"/>
    </row>
    <row r="44" spans="4:19" ht="18.5" x14ac:dyDescent="0.45">
      <c r="D44" s="145" t="s">
        <v>154</v>
      </c>
      <c r="E44" s="145"/>
      <c r="F44" s="145"/>
      <c r="G44" s="145"/>
      <c r="H44" s="145"/>
      <c r="I44" s="145"/>
      <c r="J44" s="145"/>
    </row>
    <row r="45" spans="4:19" x14ac:dyDescent="0.35">
      <c r="D45" s="1"/>
      <c r="E45" s="1"/>
      <c r="F45" s="1"/>
      <c r="G45" s="73"/>
    </row>
    <row r="46" spans="4:19" ht="18.5" x14ac:dyDescent="0.45">
      <c r="D46" s="144" t="s">
        <v>155</v>
      </c>
      <c r="E46" s="144"/>
      <c r="F46" s="144"/>
      <c r="G46" s="144"/>
      <c r="H46" s="144"/>
      <c r="I46" s="144"/>
      <c r="J46" s="144"/>
    </row>
    <row r="47" spans="4:19" x14ac:dyDescent="0.35">
      <c r="G47" s="63"/>
    </row>
    <row r="48" spans="4:19" x14ac:dyDescent="0.35">
      <c r="G48" s="63"/>
    </row>
    <row r="49" spans="7:7" x14ac:dyDescent="0.35">
      <c r="G49" s="63"/>
    </row>
    <row r="50" spans="7:7" x14ac:dyDescent="0.35">
      <c r="G50" s="63"/>
    </row>
    <row r="51" spans="7:7" x14ac:dyDescent="0.35">
      <c r="G51" s="63"/>
    </row>
    <row r="52" spans="7:7" x14ac:dyDescent="0.35">
      <c r="G52" s="63"/>
    </row>
    <row r="53" spans="7:7" x14ac:dyDescent="0.35">
      <c r="G53" s="63"/>
    </row>
    <row r="54" spans="7:7" x14ac:dyDescent="0.35">
      <c r="G54" s="63"/>
    </row>
    <row r="55" spans="7:7" x14ac:dyDescent="0.35">
      <c r="G55" s="63"/>
    </row>
    <row r="56" spans="7:7" x14ac:dyDescent="0.35">
      <c r="G56" s="63"/>
    </row>
    <row r="57" spans="7:7" x14ac:dyDescent="0.35">
      <c r="G57" s="63"/>
    </row>
    <row r="58" spans="7:7" x14ac:dyDescent="0.35">
      <c r="G58" s="63"/>
    </row>
    <row r="65" spans="7:22" x14ac:dyDescent="0.35">
      <c r="G65" s="63"/>
    </row>
    <row r="66" spans="7:22" x14ac:dyDescent="0.35">
      <c r="G66" s="63"/>
      <c r="P66" s="1" t="s">
        <v>96</v>
      </c>
    </row>
    <row r="67" spans="7:22" x14ac:dyDescent="0.35">
      <c r="G67" s="63"/>
    </row>
    <row r="68" spans="7:22" ht="18.5" x14ac:dyDescent="0.45">
      <c r="G68" s="63"/>
      <c r="P68" s="137" t="s">
        <v>95</v>
      </c>
      <c r="Q68" s="137"/>
      <c r="R68" s="137"/>
      <c r="S68" s="137"/>
      <c r="T68" s="137"/>
      <c r="U68" s="137"/>
      <c r="V68" s="137"/>
    </row>
    <row r="69" spans="7:22" ht="18.5" x14ac:dyDescent="0.45">
      <c r="G69" s="63"/>
      <c r="P69" s="137" t="s">
        <v>94</v>
      </c>
      <c r="Q69" s="137"/>
      <c r="R69" s="137"/>
      <c r="S69" s="137"/>
      <c r="T69" s="137"/>
      <c r="U69" s="137"/>
      <c r="V69" s="137"/>
    </row>
    <row r="70" spans="7:22" x14ac:dyDescent="0.35">
      <c r="G70" s="63"/>
    </row>
    <row r="71" spans="7:22" x14ac:dyDescent="0.35">
      <c r="G71" s="63"/>
      <c r="P71" s="42" t="s">
        <v>34</v>
      </c>
      <c r="Q71" s="93">
        <v>30.900000000000006</v>
      </c>
    </row>
    <row r="72" spans="7:22" x14ac:dyDescent="0.35">
      <c r="G72" s="63"/>
      <c r="P72" s="42" t="s">
        <v>30</v>
      </c>
      <c r="Q72" s="93">
        <v>32.099999999999994</v>
      </c>
    </row>
    <row r="73" spans="7:22" x14ac:dyDescent="0.35">
      <c r="G73" s="63"/>
      <c r="P73" s="42" t="s">
        <v>33</v>
      </c>
      <c r="Q73" s="93">
        <v>28.400000000000006</v>
      </c>
    </row>
    <row r="74" spans="7:22" x14ac:dyDescent="0.35">
      <c r="G74" s="63"/>
    </row>
    <row r="75" spans="7:22" x14ac:dyDescent="0.35">
      <c r="G75" s="63"/>
    </row>
    <row r="76" spans="7:22" x14ac:dyDescent="0.35">
      <c r="G76" s="63"/>
    </row>
    <row r="77" spans="7:22" x14ac:dyDescent="0.35">
      <c r="G77" s="63"/>
    </row>
    <row r="78" spans="7:22" x14ac:dyDescent="0.35">
      <c r="G78" s="63"/>
    </row>
  </sheetData>
  <mergeCells count="16">
    <mergeCell ref="P68:V68"/>
    <mergeCell ref="P69:V69"/>
    <mergeCell ref="B4:L4"/>
    <mergeCell ref="Q7:S7"/>
    <mergeCell ref="T7:V7"/>
    <mergeCell ref="E43:F43"/>
    <mergeCell ref="E6:F6"/>
    <mergeCell ref="P7:P8"/>
    <mergeCell ref="P26:P27"/>
    <mergeCell ref="F25:G25"/>
    <mergeCell ref="D46:J46"/>
    <mergeCell ref="D44:J44"/>
    <mergeCell ref="P4:Y4"/>
    <mergeCell ref="H25:I25"/>
    <mergeCell ref="J25:K25"/>
    <mergeCell ref="W7:Y7"/>
  </mergeCells>
  <conditionalFormatting sqref="S9:S21">
    <cfRule type="colorScale" priority="3">
      <colorScale>
        <cfvo type="min"/>
        <cfvo type="percentile" val="50"/>
        <cfvo type="max"/>
        <color rgb="FFF8696B"/>
        <color rgb="FFFFEB84"/>
        <color rgb="FF63BE7B"/>
      </colorScale>
    </cfRule>
    <cfRule type="colorScale" priority="4">
      <colorScale>
        <cfvo type="min"/>
        <cfvo type="max"/>
        <color rgb="FFFCFCFF"/>
        <color rgb="FF63BE7B"/>
      </colorScale>
    </cfRule>
  </conditionalFormatting>
  <conditionalFormatting sqref="V9:V21">
    <cfRule type="colorScale" priority="2">
      <colorScale>
        <cfvo type="min"/>
        <cfvo type="percentile" val="50"/>
        <cfvo type="max"/>
        <color rgb="FFF8696B"/>
        <color rgb="FFFFEB84"/>
        <color rgb="FF63BE7B"/>
      </colorScale>
    </cfRule>
  </conditionalFormatting>
  <conditionalFormatting sqref="Y9:Y21">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BB8D-22F3-4FCA-B1F0-67ADA530F0D5}">
  <dimension ref="C6:AB156"/>
  <sheetViews>
    <sheetView tabSelected="1" topLeftCell="F142" zoomScale="105" zoomScaleNormal="25" workbookViewId="0">
      <selection activeCell="D112" sqref="D112:H123"/>
    </sheetView>
  </sheetViews>
  <sheetFormatPr defaultRowHeight="14.5" x14ac:dyDescent="0.35"/>
  <cols>
    <col min="3" max="3" width="17.453125" customWidth="1"/>
    <col min="4" max="4" width="16.1796875" customWidth="1"/>
    <col min="5" max="5" width="18.36328125" customWidth="1"/>
    <col min="6" max="6" width="12.453125" bestFit="1" customWidth="1"/>
    <col min="7" max="7" width="15.453125" customWidth="1"/>
    <col min="8" max="8" width="18.08984375" customWidth="1"/>
    <col min="9" max="9" width="15.08984375" customWidth="1"/>
    <col min="10" max="10" width="13.81640625" customWidth="1"/>
    <col min="11" max="11" width="15.26953125" customWidth="1"/>
    <col min="12" max="12" width="9.81640625" customWidth="1"/>
    <col min="13" max="13" width="16.453125" customWidth="1"/>
    <col min="14" max="14" width="18.7265625" customWidth="1"/>
    <col min="15" max="15" width="15.54296875" customWidth="1"/>
    <col min="16" max="16" width="12.7265625" customWidth="1"/>
    <col min="17" max="17" width="14.36328125" customWidth="1"/>
    <col min="18" max="18" width="25" customWidth="1"/>
    <col min="19" max="19" width="17.26953125" customWidth="1"/>
    <col min="20" max="20" width="19.7265625" customWidth="1"/>
    <col min="21" max="21" width="19.90625" customWidth="1"/>
    <col min="22" max="22" width="18.453125" customWidth="1"/>
    <col min="23" max="23" width="15.7265625" customWidth="1"/>
    <col min="24" max="24" width="15.26953125" customWidth="1"/>
    <col min="25" max="25" width="13.6328125" customWidth="1"/>
    <col min="26" max="26" width="14.08984375" customWidth="1"/>
  </cols>
  <sheetData>
    <row r="6" spans="4:28" ht="33.5" x14ac:dyDescent="0.75">
      <c r="D6" s="151" t="s">
        <v>160</v>
      </c>
      <c r="E6" s="151"/>
      <c r="F6" s="151"/>
      <c r="G6" s="151"/>
      <c r="H6" s="151"/>
      <c r="I6" s="151"/>
      <c r="J6" s="151"/>
      <c r="K6" s="151"/>
      <c r="L6" s="151"/>
      <c r="M6" s="151"/>
      <c r="N6" s="151"/>
      <c r="O6" s="151"/>
      <c r="P6" s="151"/>
      <c r="Q6" s="151"/>
      <c r="R6" s="151"/>
    </row>
    <row r="11" spans="4:28" x14ac:dyDescent="0.35">
      <c r="D11" s="75"/>
      <c r="E11" s="75"/>
      <c r="F11" s="75">
        <v>2018</v>
      </c>
      <c r="G11" s="75">
        <v>2019</v>
      </c>
      <c r="H11" s="155" t="s">
        <v>116</v>
      </c>
      <c r="I11" s="75">
        <v>2019</v>
      </c>
      <c r="J11" s="75">
        <v>2020</v>
      </c>
      <c r="K11" s="155" t="s">
        <v>117</v>
      </c>
      <c r="L11" s="158" t="s">
        <v>159</v>
      </c>
      <c r="M11" s="75">
        <v>2020</v>
      </c>
      <c r="N11" s="75">
        <v>2021</v>
      </c>
      <c r="O11" s="155" t="s">
        <v>117</v>
      </c>
      <c r="P11" s="75">
        <v>2021</v>
      </c>
      <c r="Q11" s="75">
        <v>2022</v>
      </c>
      <c r="R11" s="157" t="s">
        <v>117</v>
      </c>
      <c r="U11" s="50" t="s">
        <v>114</v>
      </c>
      <c r="V11" s="50" t="s">
        <v>56</v>
      </c>
      <c r="W11" s="50" t="s">
        <v>110</v>
      </c>
      <c r="X11" s="50" t="s">
        <v>111</v>
      </c>
      <c r="Y11" s="50" t="s">
        <v>112</v>
      </c>
      <c r="Z11" s="50" t="s">
        <v>113</v>
      </c>
      <c r="AA11" s="1"/>
      <c r="AB11" s="1"/>
    </row>
    <row r="12" spans="4:28" x14ac:dyDescent="0.35">
      <c r="D12" s="75" t="s">
        <v>0</v>
      </c>
      <c r="E12" s="75" t="s">
        <v>56</v>
      </c>
      <c r="F12" s="75" t="s">
        <v>37</v>
      </c>
      <c r="G12" s="75" t="s">
        <v>36</v>
      </c>
      <c r="H12" s="156"/>
      <c r="I12" s="75" t="s">
        <v>37</v>
      </c>
      <c r="J12" s="75" t="s">
        <v>36</v>
      </c>
      <c r="K12" s="156"/>
      <c r="L12" s="159"/>
      <c r="M12" s="75" t="s">
        <v>37</v>
      </c>
      <c r="N12" s="75" t="s">
        <v>36</v>
      </c>
      <c r="O12" s="156"/>
      <c r="P12" s="75" t="s">
        <v>37</v>
      </c>
      <c r="Q12" s="75" t="s">
        <v>36</v>
      </c>
      <c r="R12" s="157"/>
      <c r="U12" s="47" t="s">
        <v>106</v>
      </c>
      <c r="V12" s="47" t="s">
        <v>90</v>
      </c>
      <c r="W12" s="30">
        <v>3.3008935177281785E-3</v>
      </c>
      <c r="X12" s="30">
        <v>6.6389107685383281E-2</v>
      </c>
      <c r="Y12" s="30">
        <v>4.1253956907995486E-2</v>
      </c>
      <c r="Z12" s="30">
        <v>5.8185165447410675E-2</v>
      </c>
      <c r="AA12" s="74"/>
      <c r="AB12" s="74"/>
    </row>
    <row r="13" spans="4:28" x14ac:dyDescent="0.35">
      <c r="D13" s="47" t="s">
        <v>106</v>
      </c>
      <c r="E13" s="47" t="s">
        <v>90</v>
      </c>
      <c r="F13" s="48">
        <v>1757.1</v>
      </c>
      <c r="G13" s="48">
        <v>1762.9</v>
      </c>
      <c r="H13" s="62">
        <f t="shared" ref="H13:H21" si="0">(G13-F13)/F13</f>
        <v>3.3008935177281785E-3</v>
      </c>
      <c r="I13" s="48">
        <v>1777.3999999999999</v>
      </c>
      <c r="J13" s="48">
        <v>1895.4</v>
      </c>
      <c r="K13" s="62">
        <f>(J13-I13)/I13</f>
        <v>6.6389107685383281E-2</v>
      </c>
      <c r="L13" s="159"/>
      <c r="M13" s="48">
        <v>1958.6</v>
      </c>
      <c r="N13" s="48">
        <v>2039.3999999999999</v>
      </c>
      <c r="O13" s="62">
        <f>(N13-M13)/M13</f>
        <v>4.1253956907995486E-2</v>
      </c>
      <c r="P13" s="48">
        <v>2064.1</v>
      </c>
      <c r="Q13" s="48">
        <v>2184.2000000000003</v>
      </c>
      <c r="R13" s="62">
        <f>(Q13-P13)/P13</f>
        <v>5.8185165447410675E-2</v>
      </c>
      <c r="U13" s="47" t="s">
        <v>106</v>
      </c>
      <c r="V13" s="47" t="s">
        <v>61</v>
      </c>
      <c r="W13" s="30">
        <v>2.9160017408965816E-2</v>
      </c>
      <c r="X13" s="30">
        <v>2.5175808720112644E-2</v>
      </c>
      <c r="Y13" s="30">
        <v>4.9146757679180884E-2</v>
      </c>
      <c r="Z13" s="30">
        <v>7.8029812054439318E-2</v>
      </c>
      <c r="AA13" s="74"/>
      <c r="AB13" s="74"/>
    </row>
    <row r="14" spans="4:28" x14ac:dyDescent="0.35">
      <c r="D14" s="47" t="s">
        <v>106</v>
      </c>
      <c r="E14" s="47" t="s">
        <v>61</v>
      </c>
      <c r="F14" s="48">
        <v>689.3</v>
      </c>
      <c r="G14" s="48">
        <v>709.40000000000009</v>
      </c>
      <c r="H14" s="62">
        <f t="shared" si="0"/>
        <v>2.9160017408965816E-2</v>
      </c>
      <c r="I14" s="48">
        <v>711</v>
      </c>
      <c r="J14" s="48">
        <v>728.90000000000009</v>
      </c>
      <c r="K14" s="62">
        <f t="shared" ref="K14:K21" si="1">(J14-I14)/I14</f>
        <v>2.5175808720112644E-2</v>
      </c>
      <c r="L14" s="159"/>
      <c r="M14" s="48">
        <v>732.5</v>
      </c>
      <c r="N14" s="48">
        <v>768.5</v>
      </c>
      <c r="O14" s="62">
        <f t="shared" ref="O14:O21" si="2">(N14-M14)/M14</f>
        <v>4.9146757679180884E-2</v>
      </c>
      <c r="P14" s="48">
        <v>771.5</v>
      </c>
      <c r="Q14" s="48">
        <v>831.69999999999993</v>
      </c>
      <c r="R14" s="62">
        <f t="shared" ref="R14:R21" si="3">(Q14-P14)/P14</f>
        <v>7.8029812054439318E-2</v>
      </c>
      <c r="U14" s="47" t="s">
        <v>106</v>
      </c>
      <c r="V14" s="47" t="s">
        <v>23</v>
      </c>
      <c r="W14" s="30">
        <v>8.1360946745562143E-2</v>
      </c>
      <c r="X14" s="30">
        <v>3.9235755714773113E-2</v>
      </c>
      <c r="Y14" s="30">
        <v>7.2992700729927015E-2</v>
      </c>
      <c r="Z14" s="30">
        <v>6.5927295132470656E-2</v>
      </c>
      <c r="AA14" s="74"/>
      <c r="AB14" s="74"/>
    </row>
    <row r="15" spans="4:28" x14ac:dyDescent="0.35">
      <c r="D15" s="47" t="s">
        <v>106</v>
      </c>
      <c r="E15" s="47" t="s">
        <v>23</v>
      </c>
      <c r="F15" s="48">
        <v>135.19999999999999</v>
      </c>
      <c r="G15" s="48">
        <v>146.19999999999999</v>
      </c>
      <c r="H15" s="62">
        <f t="shared" si="0"/>
        <v>8.1360946745562143E-2</v>
      </c>
      <c r="I15" s="48">
        <v>146.55000000000001</v>
      </c>
      <c r="J15" s="48">
        <v>152.30000000000001</v>
      </c>
      <c r="K15" s="62">
        <f t="shared" si="1"/>
        <v>3.9235755714773113E-2</v>
      </c>
      <c r="L15" s="159"/>
      <c r="M15" s="48">
        <v>150.69999999999999</v>
      </c>
      <c r="N15" s="48">
        <v>161.69999999999999</v>
      </c>
      <c r="O15" s="62">
        <f t="shared" si="2"/>
        <v>7.2992700729927015E-2</v>
      </c>
      <c r="P15" s="48">
        <v>162.30000000000001</v>
      </c>
      <c r="Q15" s="48">
        <v>173</v>
      </c>
      <c r="R15" s="62">
        <f t="shared" si="3"/>
        <v>6.5927295132470656E-2</v>
      </c>
      <c r="U15" s="59" t="s">
        <v>30</v>
      </c>
      <c r="V15" s="59" t="s">
        <v>90</v>
      </c>
      <c r="W15" s="30">
        <v>-1.0561797752808799E-2</v>
      </c>
      <c r="X15" s="30">
        <v>6.9398583241610551E-2</v>
      </c>
      <c r="Y15" s="30">
        <v>3.8802755508452885E-2</v>
      </c>
      <c r="Z15" s="30">
        <v>6.3234935350085564E-2</v>
      </c>
      <c r="AA15" s="74"/>
      <c r="AB15" s="74"/>
    </row>
    <row r="16" spans="4:28" x14ac:dyDescent="0.35">
      <c r="D16" s="59" t="s">
        <v>30</v>
      </c>
      <c r="E16" s="59" t="s">
        <v>90</v>
      </c>
      <c r="F16" s="56">
        <v>1780</v>
      </c>
      <c r="G16" s="56">
        <v>1761.2000000000003</v>
      </c>
      <c r="H16" s="62">
        <f t="shared" si="0"/>
        <v>-1.0561797752808836E-2</v>
      </c>
      <c r="I16" s="56">
        <v>1771.6500000000003</v>
      </c>
      <c r="J16" s="56">
        <v>1894.5999999999997</v>
      </c>
      <c r="K16" s="62">
        <f t="shared" si="1"/>
        <v>6.9398583241610551E-2</v>
      </c>
      <c r="L16" s="159"/>
      <c r="M16" s="56">
        <v>1950.0333333333333</v>
      </c>
      <c r="N16" s="56">
        <v>2025.7</v>
      </c>
      <c r="O16" s="62">
        <f t="shared" si="2"/>
        <v>3.8802755508452885E-2</v>
      </c>
      <c r="P16" s="56">
        <v>2049.5</v>
      </c>
      <c r="Q16" s="56">
        <v>2179.1000000000004</v>
      </c>
      <c r="R16" s="62">
        <f t="shared" si="3"/>
        <v>6.3234935350085564E-2</v>
      </c>
      <c r="U16" s="59" t="s">
        <v>30</v>
      </c>
      <c r="V16" s="59" t="s">
        <v>61</v>
      </c>
      <c r="W16" s="30">
        <v>2.9374560787069539E-2</v>
      </c>
      <c r="X16" s="30">
        <v>2.2549219974112772E-2</v>
      </c>
      <c r="Y16" s="30">
        <v>4.4631020768890799E-2</v>
      </c>
      <c r="Z16" s="30">
        <v>8.186986734049298E-2</v>
      </c>
      <c r="AA16" s="74"/>
      <c r="AB16" s="74"/>
    </row>
    <row r="17" spans="4:28" x14ac:dyDescent="0.35">
      <c r="D17" s="59" t="s">
        <v>30</v>
      </c>
      <c r="E17" s="59" t="s">
        <v>61</v>
      </c>
      <c r="F17" s="56">
        <v>711.5</v>
      </c>
      <c r="G17" s="56">
        <v>732.4</v>
      </c>
      <c r="H17" s="62">
        <f t="shared" si="0"/>
        <v>2.9374560787069539E-2</v>
      </c>
      <c r="I17" s="56">
        <v>733.94999999999993</v>
      </c>
      <c r="J17" s="56">
        <v>750.5</v>
      </c>
      <c r="K17" s="62">
        <f t="shared" si="1"/>
        <v>2.2549219974112772E-2</v>
      </c>
      <c r="L17" s="159"/>
      <c r="M17" s="56">
        <v>754.33333333333337</v>
      </c>
      <c r="N17" s="56">
        <v>788</v>
      </c>
      <c r="O17" s="62">
        <f t="shared" si="2"/>
        <v>4.4631020768890799E-2</v>
      </c>
      <c r="P17" s="56">
        <v>791.49999999999989</v>
      </c>
      <c r="Q17" s="56">
        <v>856.30000000000007</v>
      </c>
      <c r="R17" s="62">
        <f t="shared" si="3"/>
        <v>8.186986734049298E-2</v>
      </c>
      <c r="U17" s="59" t="s">
        <v>30</v>
      </c>
      <c r="V17" s="59" t="s">
        <v>23</v>
      </c>
      <c r="W17" s="30">
        <v>9.302325581395357E-2</v>
      </c>
      <c r="X17" s="30">
        <v>3.8780245276764769E-2</v>
      </c>
      <c r="Y17" s="30">
        <v>6.6753078418664819E-2</v>
      </c>
      <c r="Z17" s="30">
        <v>6.4730792498487524E-2</v>
      </c>
      <c r="AA17" s="74"/>
      <c r="AB17" s="74"/>
    </row>
    <row r="18" spans="4:28" x14ac:dyDescent="0.35">
      <c r="D18" s="59" t="s">
        <v>30</v>
      </c>
      <c r="E18" s="59" t="s">
        <v>23</v>
      </c>
      <c r="F18" s="56">
        <v>137.6</v>
      </c>
      <c r="G18" s="56">
        <v>150.4</v>
      </c>
      <c r="H18" s="62">
        <f t="shared" si="0"/>
        <v>9.302325581395357E-2</v>
      </c>
      <c r="I18" s="56">
        <v>150.85000000000002</v>
      </c>
      <c r="J18" s="56">
        <v>156.69999999999999</v>
      </c>
      <c r="K18" s="62">
        <f>(J18-I18)/I18</f>
        <v>3.8780245276764769E-2</v>
      </c>
      <c r="L18" s="159"/>
      <c r="M18" s="56">
        <v>154.30000000000001</v>
      </c>
      <c r="N18" s="56">
        <v>164.6</v>
      </c>
      <c r="O18" s="62">
        <f t="shared" si="2"/>
        <v>6.6753078418664819E-2</v>
      </c>
      <c r="P18" s="56">
        <v>165.3</v>
      </c>
      <c r="Q18" s="56">
        <v>176</v>
      </c>
      <c r="R18" s="62">
        <f t="shared" si="3"/>
        <v>6.4730792498487524E-2</v>
      </c>
      <c r="U18" s="60" t="s">
        <v>107</v>
      </c>
      <c r="V18" s="60" t="s">
        <v>90</v>
      </c>
      <c r="W18" s="30">
        <v>2.8139534883720847E-2</v>
      </c>
      <c r="X18" s="30">
        <v>6.0644152071286879E-2</v>
      </c>
      <c r="Y18" s="30">
        <v>4.5845997973657321E-2</v>
      </c>
      <c r="Z18" s="30">
        <v>5.1062404287902124E-2</v>
      </c>
      <c r="AA18" s="74"/>
      <c r="AB18" s="74"/>
    </row>
    <row r="19" spans="4:28" x14ac:dyDescent="0.35">
      <c r="D19" s="60" t="s">
        <v>107</v>
      </c>
      <c r="E19" s="60" t="s">
        <v>90</v>
      </c>
      <c r="F19" s="57">
        <v>1720.0000000000002</v>
      </c>
      <c r="G19" s="57">
        <v>1768.4</v>
      </c>
      <c r="H19" s="62">
        <f t="shared" si="0"/>
        <v>2.8139534883720847E-2</v>
      </c>
      <c r="I19" s="57">
        <v>1789.95</v>
      </c>
      <c r="J19" s="57">
        <v>1898.5</v>
      </c>
      <c r="K19" s="62">
        <f t="shared" si="1"/>
        <v>6.0644152071286879E-2</v>
      </c>
      <c r="L19" s="159"/>
      <c r="M19" s="57">
        <v>1974</v>
      </c>
      <c r="N19" s="57">
        <v>2064.4999999999995</v>
      </c>
      <c r="O19" s="62">
        <f t="shared" si="2"/>
        <v>4.5845997973657321E-2</v>
      </c>
      <c r="P19" s="57">
        <v>2089.6</v>
      </c>
      <c r="Q19" s="57">
        <v>2196.3000000000002</v>
      </c>
      <c r="R19" s="62">
        <f t="shared" si="3"/>
        <v>5.1062404287902124E-2</v>
      </c>
      <c r="U19" s="60" t="s">
        <v>107</v>
      </c>
      <c r="V19" s="60" t="s">
        <v>61</v>
      </c>
      <c r="W19" s="30">
        <v>3.469696969696949E-2</v>
      </c>
      <c r="X19" s="30">
        <v>2.8855285265541843E-2</v>
      </c>
      <c r="Y19" s="30">
        <v>5.3695068531863788E-2</v>
      </c>
      <c r="Z19" s="30">
        <v>7.1094480823199149E-2</v>
      </c>
      <c r="AA19" s="74"/>
      <c r="AB19" s="74"/>
    </row>
    <row r="20" spans="4:28" x14ac:dyDescent="0.35">
      <c r="D20" s="60" t="s">
        <v>107</v>
      </c>
      <c r="E20" s="60" t="s">
        <v>61</v>
      </c>
      <c r="F20" s="57">
        <v>660</v>
      </c>
      <c r="G20" s="57">
        <v>682.89999999999986</v>
      </c>
      <c r="H20" s="62">
        <f t="shared" si="0"/>
        <v>3.469696969696949E-2</v>
      </c>
      <c r="I20" s="57">
        <v>684.44999999999993</v>
      </c>
      <c r="J20" s="57">
        <v>704.2</v>
      </c>
      <c r="K20" s="62">
        <f t="shared" si="1"/>
        <v>2.8855285265541843E-2</v>
      </c>
      <c r="L20" s="159"/>
      <c r="M20" s="57">
        <v>707.69999999999993</v>
      </c>
      <c r="N20" s="57">
        <v>745.69999999999993</v>
      </c>
      <c r="O20" s="62">
        <f t="shared" si="2"/>
        <v>5.3695068531863788E-2</v>
      </c>
      <c r="P20" s="57">
        <v>748.30000000000007</v>
      </c>
      <c r="Q20" s="57">
        <v>801.5</v>
      </c>
      <c r="R20" s="62">
        <f t="shared" si="3"/>
        <v>7.1094480823199149E-2</v>
      </c>
      <c r="U20" s="60" t="s">
        <v>107</v>
      </c>
      <c r="V20" s="60" t="s">
        <v>23</v>
      </c>
      <c r="W20" s="30">
        <v>6.0167555217059993E-2</v>
      </c>
      <c r="X20" s="30">
        <v>3.9426523297491037E-2</v>
      </c>
      <c r="Y20" s="30">
        <v>8.3563535911602163E-2</v>
      </c>
      <c r="Z20" s="30">
        <v>6.7936507936507864E-2</v>
      </c>
      <c r="AA20" s="74"/>
      <c r="AB20" s="74"/>
    </row>
    <row r="21" spans="4:28" x14ac:dyDescent="0.35">
      <c r="D21" s="60" t="s">
        <v>107</v>
      </c>
      <c r="E21" s="60" t="s">
        <v>23</v>
      </c>
      <c r="F21" s="57">
        <v>131.30000000000001</v>
      </c>
      <c r="G21" s="57">
        <v>139.19999999999999</v>
      </c>
      <c r="H21" s="62">
        <f t="shared" si="0"/>
        <v>6.0167555217059993E-2</v>
      </c>
      <c r="I21" s="57">
        <v>139.5</v>
      </c>
      <c r="J21" s="57">
        <v>145</v>
      </c>
      <c r="K21" s="62">
        <f t="shared" si="1"/>
        <v>3.9426523297491037E-2</v>
      </c>
      <c r="L21" s="160"/>
      <c r="M21" s="57">
        <v>144.80000000000001</v>
      </c>
      <c r="N21" s="57">
        <v>156.9</v>
      </c>
      <c r="O21" s="62">
        <f t="shared" si="2"/>
        <v>8.3563535911602163E-2</v>
      </c>
      <c r="P21" s="57">
        <v>157.5</v>
      </c>
      <c r="Q21" s="57">
        <v>168.2</v>
      </c>
      <c r="R21" s="62">
        <f t="shared" si="3"/>
        <v>6.7936507936507864E-2</v>
      </c>
    </row>
    <row r="22" spans="4:28" x14ac:dyDescent="0.35">
      <c r="D22" s="1"/>
      <c r="E22" s="1"/>
      <c r="H22" s="63"/>
      <c r="K22" s="63"/>
      <c r="L22" s="125"/>
      <c r="O22" s="63"/>
      <c r="R22" s="63"/>
    </row>
    <row r="25" spans="4:28" ht="14.5" customHeight="1" x14ac:dyDescent="0.35">
      <c r="E25" s="126"/>
      <c r="F25" s="150" t="s">
        <v>106</v>
      </c>
      <c r="G25" s="150"/>
      <c r="O25" s="150" t="s">
        <v>30</v>
      </c>
      <c r="P25" s="150"/>
      <c r="W25" s="150" t="s">
        <v>33</v>
      </c>
      <c r="X25" s="150"/>
    </row>
    <row r="26" spans="4:28" ht="14.5" customHeight="1" x14ac:dyDescent="0.35">
      <c r="E26" s="126"/>
      <c r="F26" s="150"/>
      <c r="G26" s="150"/>
      <c r="O26" s="150"/>
      <c r="P26" s="150"/>
      <c r="W26" s="150"/>
      <c r="X26" s="150"/>
    </row>
    <row r="28" spans="4:28" x14ac:dyDescent="0.35">
      <c r="D28" s="50" t="s">
        <v>0</v>
      </c>
      <c r="E28" s="50" t="s">
        <v>56</v>
      </c>
      <c r="F28" s="50" t="s">
        <v>110</v>
      </c>
      <c r="G28" s="50" t="s">
        <v>111</v>
      </c>
      <c r="H28" s="50" t="s">
        <v>112</v>
      </c>
      <c r="I28" s="50" t="s">
        <v>113</v>
      </c>
      <c r="M28" s="50" t="s">
        <v>114</v>
      </c>
      <c r="N28" s="50" t="s">
        <v>56</v>
      </c>
      <c r="O28" s="50" t="s">
        <v>110</v>
      </c>
      <c r="P28" s="50" t="s">
        <v>111</v>
      </c>
      <c r="Q28" s="50" t="s">
        <v>112</v>
      </c>
      <c r="R28" s="50" t="s">
        <v>113</v>
      </c>
      <c r="U28" s="50" t="s">
        <v>114</v>
      </c>
      <c r="V28" s="50" t="s">
        <v>56</v>
      </c>
      <c r="W28" s="50" t="s">
        <v>110</v>
      </c>
      <c r="X28" s="50" t="s">
        <v>111</v>
      </c>
      <c r="Y28" s="50" t="s">
        <v>112</v>
      </c>
      <c r="Z28" s="50" t="s">
        <v>113</v>
      </c>
    </row>
    <row r="29" spans="4:28" x14ac:dyDescent="0.35">
      <c r="D29" s="47" t="s">
        <v>106</v>
      </c>
      <c r="E29" s="47" t="s">
        <v>90</v>
      </c>
      <c r="F29" s="30">
        <v>3.3008935177281785E-3</v>
      </c>
      <c r="G29" s="30">
        <v>6.6389107685383281E-2</v>
      </c>
      <c r="H29" s="30">
        <v>4.1253956907995486E-2</v>
      </c>
      <c r="I29" s="30">
        <v>5.8185165447410675E-2</v>
      </c>
      <c r="M29" s="59" t="s">
        <v>30</v>
      </c>
      <c r="N29" s="59" t="s">
        <v>90</v>
      </c>
      <c r="O29" s="30">
        <v>-1.0561797752808799E-2</v>
      </c>
      <c r="P29" s="30">
        <v>6.9398583241610551E-2</v>
      </c>
      <c r="Q29" s="30">
        <v>3.8802755508452885E-2</v>
      </c>
      <c r="R29" s="30">
        <v>6.3234935350085564E-2</v>
      </c>
      <c r="U29" s="60" t="s">
        <v>107</v>
      </c>
      <c r="V29" s="60" t="s">
        <v>90</v>
      </c>
      <c r="W29" s="30">
        <v>2.8139534883720847E-2</v>
      </c>
      <c r="X29" s="30">
        <v>6.0644152071286879E-2</v>
      </c>
      <c r="Y29" s="30">
        <v>4.5845997973657321E-2</v>
      </c>
      <c r="Z29" s="30">
        <v>5.1062404287902124E-2</v>
      </c>
    </row>
    <row r="30" spans="4:28" x14ac:dyDescent="0.35">
      <c r="D30" s="47" t="s">
        <v>106</v>
      </c>
      <c r="E30" s="47" t="s">
        <v>61</v>
      </c>
      <c r="F30" s="30">
        <v>2.9160017408965816E-2</v>
      </c>
      <c r="G30" s="30">
        <v>2.5175808720112644E-2</v>
      </c>
      <c r="H30" s="30">
        <v>4.9146757679180884E-2</v>
      </c>
      <c r="I30" s="30">
        <v>7.8029812054439318E-2</v>
      </c>
      <c r="M30" s="59" t="s">
        <v>30</v>
      </c>
      <c r="N30" s="59" t="s">
        <v>61</v>
      </c>
      <c r="O30" s="30">
        <v>2.9374560787069539E-2</v>
      </c>
      <c r="P30" s="30">
        <v>2.2549219974112772E-2</v>
      </c>
      <c r="Q30" s="30">
        <v>4.4631020768890799E-2</v>
      </c>
      <c r="R30" s="30">
        <v>8.186986734049298E-2</v>
      </c>
      <c r="U30" s="60" t="s">
        <v>107</v>
      </c>
      <c r="V30" s="60" t="s">
        <v>61</v>
      </c>
      <c r="W30" s="30">
        <v>3.469696969696949E-2</v>
      </c>
      <c r="X30" s="30">
        <v>2.8855285265541843E-2</v>
      </c>
      <c r="Y30" s="30">
        <v>5.3695068531863788E-2</v>
      </c>
      <c r="Z30" s="30">
        <v>7.1094480823199149E-2</v>
      </c>
    </row>
    <row r="31" spans="4:28" x14ac:dyDescent="0.35">
      <c r="D31" s="47" t="s">
        <v>106</v>
      </c>
      <c r="E31" s="47" t="s">
        <v>23</v>
      </c>
      <c r="F31" s="30">
        <v>8.1360946745562143E-2</v>
      </c>
      <c r="G31" s="30">
        <v>3.9235755714773113E-2</v>
      </c>
      <c r="H31" s="30">
        <v>7.2992700729927015E-2</v>
      </c>
      <c r="I31" s="30">
        <v>6.5927295132470656E-2</v>
      </c>
      <c r="M31" s="59" t="s">
        <v>30</v>
      </c>
      <c r="N31" s="59" t="s">
        <v>23</v>
      </c>
      <c r="O31" s="30">
        <v>9.302325581395357E-2</v>
      </c>
      <c r="P31" s="30">
        <v>3.8780245276764769E-2</v>
      </c>
      <c r="Q31" s="30">
        <v>6.6753078418664819E-2</v>
      </c>
      <c r="R31" s="30">
        <v>6.4730792498487524E-2</v>
      </c>
      <c r="U31" s="60" t="s">
        <v>107</v>
      </c>
      <c r="V31" s="60" t="s">
        <v>23</v>
      </c>
      <c r="W31" s="30">
        <v>6.0167555217059993E-2</v>
      </c>
      <c r="X31" s="30">
        <v>3.9426523297491037E-2</v>
      </c>
      <c r="Y31" s="30">
        <v>8.3563535911602163E-2</v>
      </c>
      <c r="Z31" s="30">
        <v>6.7936507936507864E-2</v>
      </c>
    </row>
    <row r="32" spans="4:28" x14ac:dyDescent="0.35">
      <c r="D32" s="1"/>
      <c r="E32" s="1"/>
      <c r="F32" s="63"/>
      <c r="G32" s="63"/>
      <c r="H32" s="63"/>
      <c r="I32" s="63"/>
    </row>
    <row r="33" spans="4:9" x14ac:dyDescent="0.35">
      <c r="D33" s="1"/>
      <c r="E33" s="1"/>
      <c r="F33" s="63"/>
      <c r="G33" s="63"/>
      <c r="H33" s="63"/>
      <c r="I33" s="63"/>
    </row>
    <row r="34" spans="4:9" x14ac:dyDescent="0.35">
      <c r="D34" s="1"/>
      <c r="E34" s="1"/>
      <c r="F34" s="63"/>
      <c r="G34" s="63"/>
      <c r="H34" s="63"/>
      <c r="I34" s="63"/>
    </row>
    <row r="35" spans="4:9" x14ac:dyDescent="0.35">
      <c r="D35" s="1"/>
      <c r="E35" s="1"/>
      <c r="F35" s="63"/>
      <c r="G35" s="63"/>
      <c r="H35" s="63"/>
      <c r="I35" s="63"/>
    </row>
    <row r="36" spans="4:9" x14ac:dyDescent="0.35">
      <c r="D36" s="1"/>
      <c r="E36" s="1"/>
      <c r="F36" s="63"/>
      <c r="G36" s="63"/>
      <c r="H36" s="63"/>
      <c r="I36" s="63"/>
    </row>
    <row r="37" spans="4:9" x14ac:dyDescent="0.35">
      <c r="D37" s="1"/>
      <c r="E37" s="1"/>
      <c r="F37" s="63"/>
      <c r="G37" s="63"/>
      <c r="H37" s="63"/>
      <c r="I37" s="63"/>
    </row>
    <row r="55" spans="3:22" ht="17.5" x14ac:dyDescent="0.35">
      <c r="D55" s="149" t="s">
        <v>174</v>
      </c>
      <c r="E55" s="149"/>
      <c r="M55" s="25" t="s">
        <v>223</v>
      </c>
      <c r="U55" s="25" t="s">
        <v>226</v>
      </c>
    </row>
    <row r="56" spans="3:22" x14ac:dyDescent="0.35">
      <c r="C56" s="1"/>
      <c r="D56" s="1"/>
      <c r="E56" s="1"/>
      <c r="F56" s="1"/>
      <c r="G56" s="1"/>
      <c r="H56" s="1"/>
      <c r="I56" s="1"/>
      <c r="J56" s="1"/>
    </row>
    <row r="57" spans="3:22" x14ac:dyDescent="0.35">
      <c r="C57" s="1"/>
      <c r="D57" s="98" t="s">
        <v>1</v>
      </c>
      <c r="E57" s="98" t="s">
        <v>161</v>
      </c>
      <c r="F57" s="1"/>
      <c r="G57" s="1"/>
      <c r="H57" s="1"/>
      <c r="I57" s="1"/>
      <c r="J57" s="1"/>
      <c r="M57" s="98" t="s">
        <v>1</v>
      </c>
      <c r="N57" s="98" t="s">
        <v>161</v>
      </c>
      <c r="U57" s="98" t="s">
        <v>1</v>
      </c>
      <c r="V57" s="98" t="s">
        <v>161</v>
      </c>
    </row>
    <row r="58" spans="3:22" x14ac:dyDescent="0.35">
      <c r="C58" s="1"/>
      <c r="D58" s="13" t="s">
        <v>162</v>
      </c>
      <c r="E58" s="13" t="s">
        <v>163</v>
      </c>
      <c r="M58" s="13" t="s">
        <v>162</v>
      </c>
      <c r="N58" s="100">
        <v>2.8000000000000001E-2</v>
      </c>
      <c r="U58" s="13" t="s">
        <v>162</v>
      </c>
      <c r="V58" s="13" t="s">
        <v>227</v>
      </c>
    </row>
    <row r="59" spans="3:22" x14ac:dyDescent="0.35">
      <c r="D59" s="13" t="s">
        <v>164</v>
      </c>
      <c r="E59" s="13" t="s">
        <v>165</v>
      </c>
      <c r="M59" s="13" t="s">
        <v>164</v>
      </c>
      <c r="N59" s="13" t="s">
        <v>202</v>
      </c>
      <c r="U59" s="13" t="s">
        <v>164</v>
      </c>
      <c r="V59" s="13" t="s">
        <v>228</v>
      </c>
    </row>
    <row r="60" spans="3:22" x14ac:dyDescent="0.35">
      <c r="D60" s="99" t="s">
        <v>166</v>
      </c>
      <c r="E60" s="13" t="s">
        <v>167</v>
      </c>
      <c r="M60" s="13" t="s">
        <v>166</v>
      </c>
      <c r="N60" s="100">
        <v>4.5999999999999999E-2</v>
      </c>
      <c r="U60" s="13" t="s">
        <v>166</v>
      </c>
      <c r="V60" s="13" t="s">
        <v>229</v>
      </c>
    </row>
    <row r="61" spans="3:22" x14ac:dyDescent="0.35">
      <c r="D61" s="99" t="s">
        <v>168</v>
      </c>
      <c r="E61" s="13" t="s">
        <v>169</v>
      </c>
      <c r="M61" s="13" t="s">
        <v>168</v>
      </c>
      <c r="N61" s="100">
        <v>5.0999999999999997E-2</v>
      </c>
      <c r="U61" s="13" t="s">
        <v>168</v>
      </c>
      <c r="V61" s="13" t="s">
        <v>230</v>
      </c>
    </row>
    <row r="62" spans="3:22" x14ac:dyDescent="0.35">
      <c r="M62" s="24"/>
    </row>
    <row r="63" spans="3:22" x14ac:dyDescent="0.35">
      <c r="D63" s="152" t="s">
        <v>170</v>
      </c>
      <c r="E63" s="152"/>
      <c r="F63" s="152"/>
      <c r="G63" s="152"/>
      <c r="H63" s="152"/>
      <c r="I63" s="152"/>
      <c r="M63" s="23" t="s">
        <v>203</v>
      </c>
      <c r="U63" s="1" t="s">
        <v>231</v>
      </c>
    </row>
    <row r="64" spans="3:22" x14ac:dyDescent="0.35">
      <c r="D64" s="153" t="s">
        <v>171</v>
      </c>
      <c r="E64" s="153"/>
      <c r="F64" s="153"/>
      <c r="G64" s="153"/>
      <c r="H64" s="153"/>
      <c r="I64" s="153"/>
      <c r="M64" s="24" t="s">
        <v>219</v>
      </c>
      <c r="U64" s="24"/>
    </row>
    <row r="65" spans="4:22" x14ac:dyDescent="0.35">
      <c r="D65" s="24"/>
      <c r="E65" s="24"/>
      <c r="F65" s="24"/>
      <c r="G65" s="24"/>
      <c r="H65" s="24"/>
      <c r="I65" s="24"/>
      <c r="M65" s="24" t="s">
        <v>220</v>
      </c>
      <c r="U65" s="23" t="s">
        <v>232</v>
      </c>
    </row>
    <row r="66" spans="4:22" x14ac:dyDescent="0.35">
      <c r="D66" s="152" t="s">
        <v>172</v>
      </c>
      <c r="E66" s="152"/>
      <c r="F66" s="152"/>
      <c r="G66" s="152"/>
      <c r="H66" s="152"/>
      <c r="M66" s="23" t="s">
        <v>204</v>
      </c>
      <c r="U66" s="24" t="s">
        <v>246</v>
      </c>
    </row>
    <row r="67" spans="4:22" x14ac:dyDescent="0.35">
      <c r="D67" s="154" t="s">
        <v>173</v>
      </c>
      <c r="E67" s="154"/>
      <c r="F67" s="154"/>
      <c r="G67" s="154"/>
      <c r="H67" s="154"/>
      <c r="M67" s="24" t="s">
        <v>217</v>
      </c>
      <c r="U67" s="24" t="s">
        <v>247</v>
      </c>
    </row>
    <row r="68" spans="4:22" x14ac:dyDescent="0.35">
      <c r="M68" s="24" t="s">
        <v>218</v>
      </c>
      <c r="U68" s="23" t="s">
        <v>233</v>
      </c>
    </row>
    <row r="69" spans="4:22" x14ac:dyDescent="0.35">
      <c r="M69" s="23" t="s">
        <v>205</v>
      </c>
      <c r="U69" s="24" t="s">
        <v>248</v>
      </c>
    </row>
    <row r="70" spans="4:22" x14ac:dyDescent="0.35">
      <c r="U70" s="24"/>
    </row>
    <row r="71" spans="4:22" ht="17.5" x14ac:dyDescent="0.35">
      <c r="D71" s="149" t="s">
        <v>175</v>
      </c>
      <c r="E71" s="149"/>
      <c r="U71" s="1" t="s">
        <v>234</v>
      </c>
    </row>
    <row r="72" spans="4:22" x14ac:dyDescent="0.35">
      <c r="U72" t="s">
        <v>249</v>
      </c>
    </row>
    <row r="73" spans="4:22" ht="29" x14ac:dyDescent="0.35">
      <c r="D73" s="98" t="s">
        <v>1</v>
      </c>
      <c r="E73" s="98" t="s">
        <v>176</v>
      </c>
      <c r="M73" s="25" t="s">
        <v>224</v>
      </c>
      <c r="U73" s="81" t="s">
        <v>250</v>
      </c>
    </row>
    <row r="74" spans="4:22" x14ac:dyDescent="0.35">
      <c r="D74" s="13" t="s">
        <v>162</v>
      </c>
      <c r="E74" s="100">
        <v>2.9000000000000001E-2</v>
      </c>
      <c r="U74" s="81"/>
    </row>
    <row r="75" spans="4:22" ht="29" x14ac:dyDescent="0.35">
      <c r="D75" s="13" t="s">
        <v>164</v>
      </c>
      <c r="E75" s="100">
        <v>2.5000000000000001E-2</v>
      </c>
      <c r="M75" s="98" t="s">
        <v>1</v>
      </c>
      <c r="N75" s="98" t="s">
        <v>176</v>
      </c>
      <c r="U75" s="25" t="s">
        <v>224</v>
      </c>
    </row>
    <row r="76" spans="4:22" x14ac:dyDescent="0.35">
      <c r="D76" s="99" t="s">
        <v>166</v>
      </c>
      <c r="E76" s="100">
        <v>4.9000000000000002E-2</v>
      </c>
      <c r="M76" s="13" t="s">
        <v>162</v>
      </c>
      <c r="N76" s="100">
        <v>3.5000000000000003E-2</v>
      </c>
    </row>
    <row r="77" spans="4:22" ht="29.5" customHeight="1" x14ac:dyDescent="0.35">
      <c r="D77" s="99" t="s">
        <v>168</v>
      </c>
      <c r="E77" s="13" t="s">
        <v>177</v>
      </c>
      <c r="M77" s="13" t="s">
        <v>164</v>
      </c>
      <c r="N77" s="100">
        <v>2.9000000000000001E-2</v>
      </c>
      <c r="U77" s="98" t="s">
        <v>1</v>
      </c>
      <c r="V77" s="98" t="s">
        <v>176</v>
      </c>
    </row>
    <row r="78" spans="4:22" x14ac:dyDescent="0.35">
      <c r="M78" s="13" t="s">
        <v>166</v>
      </c>
      <c r="N78" s="100">
        <v>5.3999999999999999E-2</v>
      </c>
      <c r="U78" s="13" t="s">
        <v>162</v>
      </c>
      <c r="V78" s="100">
        <v>2.9000000000000001E-2</v>
      </c>
    </row>
    <row r="79" spans="4:22" ht="29" x14ac:dyDescent="0.35">
      <c r="M79" s="13" t="s">
        <v>168</v>
      </c>
      <c r="N79" s="13" t="s">
        <v>206</v>
      </c>
      <c r="U79" s="13" t="s">
        <v>164</v>
      </c>
      <c r="V79" s="100">
        <v>2.5000000000000001E-2</v>
      </c>
    </row>
    <row r="80" spans="4:22" x14ac:dyDescent="0.35">
      <c r="D80" s="1" t="s">
        <v>178</v>
      </c>
      <c r="M80" s="24"/>
      <c r="U80" s="13" t="s">
        <v>166</v>
      </c>
      <c r="V80" s="100">
        <v>4.9000000000000002E-2</v>
      </c>
    </row>
    <row r="81" spans="4:22" ht="29" x14ac:dyDescent="0.35">
      <c r="M81" s="23" t="s">
        <v>203</v>
      </c>
      <c r="U81" s="13" t="s">
        <v>168</v>
      </c>
      <c r="V81" s="13" t="s">
        <v>235</v>
      </c>
    </row>
    <row r="82" spans="4:22" x14ac:dyDescent="0.35">
      <c r="D82" t="s">
        <v>179</v>
      </c>
      <c r="M82" s="24" t="s">
        <v>207</v>
      </c>
    </row>
    <row r="83" spans="4:22" x14ac:dyDescent="0.35">
      <c r="D83" t="s">
        <v>180</v>
      </c>
      <c r="M83" s="24"/>
      <c r="U83" s="1" t="s">
        <v>231</v>
      </c>
    </row>
    <row r="84" spans="4:22" x14ac:dyDescent="0.35">
      <c r="M84" s="23" t="s">
        <v>204</v>
      </c>
      <c r="U84" s="24"/>
    </row>
    <row r="85" spans="4:22" x14ac:dyDescent="0.35">
      <c r="D85" s="1" t="s">
        <v>181</v>
      </c>
      <c r="M85" s="24" t="s">
        <v>215</v>
      </c>
      <c r="U85" s="23" t="s">
        <v>232</v>
      </c>
    </row>
    <row r="86" spans="4:22" x14ac:dyDescent="0.35">
      <c r="D86" t="s">
        <v>182</v>
      </c>
      <c r="M86" s="24" t="s">
        <v>216</v>
      </c>
      <c r="U86" s="24" t="s">
        <v>236</v>
      </c>
    </row>
    <row r="87" spans="4:22" x14ac:dyDescent="0.35">
      <c r="M87" s="23" t="s">
        <v>208</v>
      </c>
      <c r="U87" s="24"/>
    </row>
    <row r="88" spans="4:22" x14ac:dyDescent="0.35">
      <c r="U88" s="23" t="s">
        <v>233</v>
      </c>
    </row>
    <row r="89" spans="4:22" x14ac:dyDescent="0.35">
      <c r="U89" s="24" t="s">
        <v>251</v>
      </c>
    </row>
    <row r="90" spans="4:22" ht="17.5" x14ac:dyDescent="0.35">
      <c r="D90" s="25" t="s">
        <v>190</v>
      </c>
      <c r="U90" s="8"/>
      <c r="V90" s="8"/>
    </row>
    <row r="91" spans="4:22" ht="17.5" x14ac:dyDescent="0.35">
      <c r="M91" s="25" t="s">
        <v>190</v>
      </c>
      <c r="U91" s="1" t="s">
        <v>234</v>
      </c>
    </row>
    <row r="92" spans="4:22" ht="29" x14ac:dyDescent="0.35">
      <c r="D92" s="98" t="s">
        <v>1</v>
      </c>
      <c r="E92" s="98" t="s">
        <v>183</v>
      </c>
      <c r="U92" t="s">
        <v>252</v>
      </c>
    </row>
    <row r="93" spans="4:22" x14ac:dyDescent="0.35">
      <c r="D93" s="13" t="s">
        <v>162</v>
      </c>
      <c r="E93" s="13" t="s">
        <v>184</v>
      </c>
      <c r="M93" s="98" t="s">
        <v>1</v>
      </c>
      <c r="N93" s="98" t="s">
        <v>183</v>
      </c>
      <c r="U93" s="24" t="s">
        <v>253</v>
      </c>
    </row>
    <row r="94" spans="4:22" x14ac:dyDescent="0.35">
      <c r="D94" s="13" t="s">
        <v>164</v>
      </c>
      <c r="E94" s="100">
        <v>3.9E-2</v>
      </c>
      <c r="M94" s="13" t="s">
        <v>162</v>
      </c>
      <c r="N94" s="100">
        <v>0.06</v>
      </c>
      <c r="U94" s="23"/>
    </row>
    <row r="95" spans="4:22" x14ac:dyDescent="0.35">
      <c r="D95" s="99" t="s">
        <v>166</v>
      </c>
      <c r="E95" s="100">
        <v>7.2999999999999995E-2</v>
      </c>
      <c r="M95" s="13" t="s">
        <v>164</v>
      </c>
      <c r="N95" s="100">
        <v>3.9E-2</v>
      </c>
      <c r="U95" s="24"/>
    </row>
    <row r="96" spans="4:22" ht="17.5" x14ac:dyDescent="0.35">
      <c r="D96" s="99" t="s">
        <v>168</v>
      </c>
      <c r="E96" s="100">
        <v>6.6000000000000003E-2</v>
      </c>
      <c r="M96" s="13" t="s">
        <v>166</v>
      </c>
      <c r="N96" s="100">
        <v>8.4000000000000005E-2</v>
      </c>
      <c r="U96" s="25" t="s">
        <v>237</v>
      </c>
    </row>
    <row r="97" spans="4:22" x14ac:dyDescent="0.35">
      <c r="M97" s="13" t="s">
        <v>168</v>
      </c>
      <c r="N97" s="100">
        <v>6.8000000000000005E-2</v>
      </c>
    </row>
    <row r="98" spans="4:22" ht="29" x14ac:dyDescent="0.35">
      <c r="M98" s="24"/>
      <c r="U98" s="98" t="s">
        <v>1</v>
      </c>
      <c r="V98" s="98" t="s">
        <v>183</v>
      </c>
    </row>
    <row r="99" spans="4:22" x14ac:dyDescent="0.35">
      <c r="D99" t="s">
        <v>185</v>
      </c>
      <c r="M99" s="23" t="s">
        <v>203</v>
      </c>
      <c r="U99" s="13" t="s">
        <v>162</v>
      </c>
      <c r="V99" s="13" t="s">
        <v>238</v>
      </c>
    </row>
    <row r="100" spans="4:22" x14ac:dyDescent="0.35">
      <c r="M100" s="24" t="s">
        <v>209</v>
      </c>
      <c r="U100" s="13" t="s">
        <v>164</v>
      </c>
      <c r="V100" s="100">
        <v>3.9E-2</v>
      </c>
    </row>
    <row r="101" spans="4:22" x14ac:dyDescent="0.35">
      <c r="D101" t="s">
        <v>186</v>
      </c>
      <c r="M101" s="24"/>
      <c r="U101" s="13" t="s">
        <v>166</v>
      </c>
      <c r="V101" s="100">
        <v>7.2999999999999995E-2</v>
      </c>
    </row>
    <row r="102" spans="4:22" x14ac:dyDescent="0.35">
      <c r="D102" t="s">
        <v>187</v>
      </c>
      <c r="M102" s="23" t="s">
        <v>204</v>
      </c>
      <c r="U102" s="13" t="s">
        <v>168</v>
      </c>
      <c r="V102" s="100">
        <v>6.6000000000000003E-2</v>
      </c>
    </row>
    <row r="103" spans="4:22" x14ac:dyDescent="0.35">
      <c r="M103" s="24" t="s">
        <v>210</v>
      </c>
    </row>
    <row r="104" spans="4:22" x14ac:dyDescent="0.35">
      <c r="D104" s="1" t="s">
        <v>188</v>
      </c>
      <c r="M104" s="24"/>
      <c r="U104" s="1" t="s">
        <v>231</v>
      </c>
    </row>
    <row r="105" spans="4:22" x14ac:dyDescent="0.35">
      <c r="D105" t="s">
        <v>189</v>
      </c>
      <c r="M105" s="23" t="s">
        <v>211</v>
      </c>
      <c r="U105" s="24"/>
    </row>
    <row r="106" spans="4:22" x14ac:dyDescent="0.35">
      <c r="U106" s="23" t="s">
        <v>239</v>
      </c>
    </row>
    <row r="107" spans="4:22" x14ac:dyDescent="0.35">
      <c r="U107" s="24" t="s">
        <v>240</v>
      </c>
    </row>
    <row r="108" spans="4:22" x14ac:dyDescent="0.35">
      <c r="U108" s="24"/>
    </row>
    <row r="109" spans="4:22" ht="17.5" x14ac:dyDescent="0.35">
      <c r="M109" s="25" t="s">
        <v>225</v>
      </c>
      <c r="U109" s="23" t="s">
        <v>241</v>
      </c>
    </row>
    <row r="110" spans="4:22" ht="17.5" x14ac:dyDescent="0.35">
      <c r="D110" s="25" t="s">
        <v>198</v>
      </c>
      <c r="U110" s="24" t="s">
        <v>242</v>
      </c>
    </row>
    <row r="111" spans="4:22" x14ac:dyDescent="0.35">
      <c r="M111" s="98" t="s">
        <v>56</v>
      </c>
      <c r="N111" s="98" t="s">
        <v>191</v>
      </c>
      <c r="O111" s="98" t="s">
        <v>192</v>
      </c>
      <c r="P111" s="98" t="s">
        <v>193</v>
      </c>
    </row>
    <row r="112" spans="4:22" ht="29" x14ac:dyDescent="0.35">
      <c r="D112" s="98" t="s">
        <v>56</v>
      </c>
      <c r="E112" s="98" t="s">
        <v>191</v>
      </c>
      <c r="F112" s="98" t="s">
        <v>192</v>
      </c>
      <c r="G112" s="98" t="s">
        <v>193</v>
      </c>
      <c r="M112" s="13" t="s">
        <v>59</v>
      </c>
      <c r="N112" s="100">
        <v>4.4499999999999998E-2</v>
      </c>
      <c r="O112" s="100">
        <v>4.8500000000000001E-2</v>
      </c>
      <c r="P112" s="100">
        <v>4.0000000000000001E-3</v>
      </c>
      <c r="U112" s="1" t="s">
        <v>234</v>
      </c>
    </row>
    <row r="113" spans="4:24" x14ac:dyDescent="0.35">
      <c r="D113" s="13" t="s">
        <v>59</v>
      </c>
      <c r="E113" s="100">
        <v>3.4500000000000003E-2</v>
      </c>
      <c r="F113" s="100">
        <v>4.9500000000000002E-2</v>
      </c>
      <c r="G113" s="13" t="s">
        <v>199</v>
      </c>
      <c r="M113" s="13" t="s">
        <v>61</v>
      </c>
      <c r="N113" s="100">
        <v>3.2000000000000001E-2</v>
      </c>
      <c r="O113" s="100">
        <v>6.25E-2</v>
      </c>
      <c r="P113" s="100">
        <v>3.0499999999999999E-2</v>
      </c>
      <c r="U113" t="s">
        <v>254</v>
      </c>
    </row>
    <row r="114" spans="4:24" x14ac:dyDescent="0.35">
      <c r="D114" s="13" t="s">
        <v>61</v>
      </c>
      <c r="E114" s="100">
        <v>2.7E-2</v>
      </c>
      <c r="F114" s="100">
        <v>6.3500000000000001E-2</v>
      </c>
      <c r="G114" s="13" t="s">
        <v>200</v>
      </c>
      <c r="M114" s="13" t="s">
        <v>23</v>
      </c>
      <c r="N114" s="100">
        <v>4.9500000000000002E-2</v>
      </c>
      <c r="O114" s="100">
        <v>7.5999999999999998E-2</v>
      </c>
      <c r="P114" s="100">
        <v>2.6499999999999999E-2</v>
      </c>
      <c r="U114" t="s">
        <v>255</v>
      </c>
    </row>
    <row r="115" spans="4:24" x14ac:dyDescent="0.35">
      <c r="D115" s="13" t="s">
        <v>23</v>
      </c>
      <c r="E115" s="100">
        <v>0.06</v>
      </c>
      <c r="F115" s="100">
        <v>6.9500000000000006E-2</v>
      </c>
      <c r="G115" s="13" t="s">
        <v>201</v>
      </c>
      <c r="U115" s="7"/>
      <c r="V115" s="7"/>
    </row>
    <row r="116" spans="4:24" ht="17.5" x14ac:dyDescent="0.35">
      <c r="U116" s="25" t="s">
        <v>261</v>
      </c>
    </row>
    <row r="117" spans="4:24" ht="17.5" x14ac:dyDescent="0.35">
      <c r="M117" s="25" t="s">
        <v>260</v>
      </c>
    </row>
    <row r="118" spans="4:24" x14ac:dyDescent="0.35">
      <c r="D118" t="s">
        <v>194</v>
      </c>
      <c r="M118" s="24"/>
      <c r="U118" s="98" t="s">
        <v>56</v>
      </c>
      <c r="V118" s="98" t="s">
        <v>191</v>
      </c>
      <c r="W118" s="98" t="s">
        <v>192</v>
      </c>
      <c r="X118" s="98" t="s">
        <v>193</v>
      </c>
    </row>
    <row r="119" spans="4:24" x14ac:dyDescent="0.35">
      <c r="M119" s="24" t="s">
        <v>212</v>
      </c>
      <c r="U119" s="99" t="s">
        <v>59</v>
      </c>
      <c r="V119" s="100">
        <v>3.4500000000000003E-2</v>
      </c>
      <c r="W119" s="100">
        <v>4.9500000000000002E-2</v>
      </c>
      <c r="X119" s="100">
        <v>1.4999999999999999E-2</v>
      </c>
    </row>
    <row r="120" spans="4:24" x14ac:dyDescent="0.35">
      <c r="D120" t="s">
        <v>195</v>
      </c>
      <c r="M120" s="24"/>
      <c r="U120" s="99" t="s">
        <v>61</v>
      </c>
      <c r="V120" s="100">
        <v>2.7E-2</v>
      </c>
      <c r="W120" s="100">
        <v>6.3500000000000001E-2</v>
      </c>
      <c r="X120" s="100">
        <v>3.6499999999999998E-2</v>
      </c>
    </row>
    <row r="121" spans="4:24" x14ac:dyDescent="0.35">
      <c r="D121" t="s">
        <v>196</v>
      </c>
      <c r="M121" s="23" t="s">
        <v>213</v>
      </c>
      <c r="U121" s="99" t="s">
        <v>23</v>
      </c>
      <c r="V121" s="100">
        <v>0.06</v>
      </c>
      <c r="W121" s="100">
        <v>6.9500000000000006E-2</v>
      </c>
      <c r="X121" s="100">
        <v>9.4999999999999998E-3</v>
      </c>
    </row>
    <row r="122" spans="4:24" x14ac:dyDescent="0.35">
      <c r="M122" s="24"/>
    </row>
    <row r="123" spans="4:24" x14ac:dyDescent="0.35">
      <c r="D123" s="23" t="s">
        <v>197</v>
      </c>
      <c r="M123" s="24" t="s">
        <v>221</v>
      </c>
    </row>
    <row r="124" spans="4:24" ht="17.5" x14ac:dyDescent="0.35">
      <c r="M124" s="24" t="s">
        <v>222</v>
      </c>
      <c r="U124" s="25" t="s">
        <v>243</v>
      </c>
    </row>
    <row r="125" spans="4:24" x14ac:dyDescent="0.35">
      <c r="M125" s="24" t="s">
        <v>214</v>
      </c>
      <c r="U125" s="24"/>
    </row>
    <row r="126" spans="4:24" x14ac:dyDescent="0.35">
      <c r="U126" s="23" t="s">
        <v>256</v>
      </c>
    </row>
    <row r="127" spans="4:24" x14ac:dyDescent="0.35">
      <c r="U127" s="24" t="s">
        <v>257</v>
      </c>
    </row>
    <row r="128" spans="4:24" x14ac:dyDescent="0.35">
      <c r="U128" s="23" t="s">
        <v>244</v>
      </c>
    </row>
    <row r="129" spans="21:24" x14ac:dyDescent="0.35">
      <c r="U129" s="24"/>
    </row>
    <row r="130" spans="21:24" x14ac:dyDescent="0.35">
      <c r="U130" s="24" t="s">
        <v>245</v>
      </c>
    </row>
    <row r="131" spans="21:24" x14ac:dyDescent="0.35">
      <c r="U131" s="82"/>
    </row>
    <row r="132" spans="21:24" x14ac:dyDescent="0.35">
      <c r="U132" s="81"/>
    </row>
    <row r="133" spans="21:24" x14ac:dyDescent="0.35">
      <c r="U133" s="82"/>
    </row>
    <row r="134" spans="21:24" x14ac:dyDescent="0.35">
      <c r="U134" s="81"/>
    </row>
    <row r="135" spans="21:24" x14ac:dyDescent="0.35">
      <c r="U135" s="82"/>
    </row>
    <row r="137" spans="21:24" x14ac:dyDescent="0.35">
      <c r="U137" s="1"/>
    </row>
    <row r="142" spans="21:24" ht="17.5" x14ac:dyDescent="0.35">
      <c r="U142" s="25"/>
    </row>
    <row r="144" spans="21:24" x14ac:dyDescent="0.35">
      <c r="U144" s="7"/>
      <c r="V144" s="7"/>
      <c r="W144" s="7"/>
      <c r="X144" s="7"/>
    </row>
    <row r="145" spans="21:24" x14ac:dyDescent="0.35">
      <c r="U145" s="9"/>
      <c r="V145" s="96"/>
      <c r="W145" s="96"/>
      <c r="X145" s="8"/>
    </row>
    <row r="146" spans="21:24" x14ac:dyDescent="0.35">
      <c r="U146" s="9"/>
      <c r="V146" s="96"/>
      <c r="W146" s="96"/>
      <c r="X146" s="8"/>
    </row>
    <row r="147" spans="21:24" x14ac:dyDescent="0.35">
      <c r="U147" s="9"/>
      <c r="V147" s="96"/>
      <c r="W147" s="96"/>
      <c r="X147" s="8"/>
    </row>
    <row r="150" spans="21:24" ht="17.5" x14ac:dyDescent="0.35">
      <c r="U150" s="25"/>
    </row>
    <row r="151" spans="21:24" x14ac:dyDescent="0.35">
      <c r="U151" s="24"/>
    </row>
    <row r="152" spans="21:24" x14ac:dyDescent="0.35">
      <c r="U152" s="23"/>
    </row>
    <row r="153" spans="21:24" x14ac:dyDescent="0.35">
      <c r="U153" s="24"/>
    </row>
    <row r="154" spans="21:24" x14ac:dyDescent="0.35">
      <c r="U154" s="23"/>
    </row>
    <row r="155" spans="21:24" x14ac:dyDescent="0.35">
      <c r="U155" s="24"/>
    </row>
    <row r="156" spans="21:24" x14ac:dyDescent="0.35">
      <c r="U156" s="24"/>
    </row>
  </sheetData>
  <mergeCells count="15">
    <mergeCell ref="D71:E71"/>
    <mergeCell ref="O25:P26"/>
    <mergeCell ref="W25:X26"/>
    <mergeCell ref="F25:G26"/>
    <mergeCell ref="D6:R6"/>
    <mergeCell ref="D63:I63"/>
    <mergeCell ref="D64:I64"/>
    <mergeCell ref="D66:H66"/>
    <mergeCell ref="D67:H67"/>
    <mergeCell ref="D55:E55"/>
    <mergeCell ref="H11:H12"/>
    <mergeCell ref="K11:K12"/>
    <mergeCell ref="O11:O12"/>
    <mergeCell ref="R11:R12"/>
    <mergeCell ref="L11:L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D2B9-E568-49E3-A03E-1518AA75C7E3}">
  <dimension ref="D6:AN93"/>
  <sheetViews>
    <sheetView zoomScale="63" zoomScaleNormal="102" workbookViewId="0">
      <selection activeCell="AI34" sqref="AI34"/>
    </sheetView>
  </sheetViews>
  <sheetFormatPr defaultRowHeight="14.5" x14ac:dyDescent="0.35"/>
  <cols>
    <col min="3" max="3" width="11.453125" bestFit="1" customWidth="1"/>
    <col min="4" max="4" width="13.08984375" customWidth="1"/>
    <col min="5" max="5" width="9.54296875" bestFit="1" customWidth="1"/>
    <col min="6" max="6" width="19.26953125" customWidth="1"/>
    <col min="7" max="7" width="19.1796875" bestFit="1" customWidth="1"/>
    <col min="8" max="8" width="18.81640625" bestFit="1" customWidth="1"/>
    <col min="9" max="9" width="19.1796875" bestFit="1" customWidth="1"/>
    <col min="10" max="10" width="18.81640625" bestFit="1" customWidth="1"/>
    <col min="11" max="11" width="19.1796875" bestFit="1" customWidth="1"/>
    <col min="12" max="12" width="18.81640625" bestFit="1" customWidth="1"/>
    <col min="13" max="13" width="19.1796875" bestFit="1" customWidth="1"/>
    <col min="14" max="14" width="11.90625" customWidth="1"/>
    <col min="15" max="16" width="17.90625" customWidth="1"/>
    <col min="17" max="17" width="17.81640625" customWidth="1"/>
    <col min="18" max="18" width="19.1796875" customWidth="1"/>
    <col min="19" max="19" width="20.26953125" customWidth="1"/>
    <col min="20" max="20" width="20.08984375" customWidth="1"/>
    <col min="21" max="21" width="20.453125" customWidth="1"/>
    <col min="22" max="22" width="21.36328125" customWidth="1"/>
    <col min="23" max="23" width="18.08984375" bestFit="1" customWidth="1"/>
    <col min="24" max="24" width="17.81640625" bestFit="1" customWidth="1"/>
    <col min="25" max="25" width="18.08984375" bestFit="1" customWidth="1"/>
    <col min="26" max="26" width="7.54296875" bestFit="1" customWidth="1"/>
    <col min="29" max="29" width="17.81640625" bestFit="1" customWidth="1"/>
    <col min="30" max="30" width="18.08984375" bestFit="1" customWidth="1"/>
    <col min="31" max="31" width="17.81640625" bestFit="1" customWidth="1"/>
    <col min="32" max="32" width="18.08984375" bestFit="1" customWidth="1"/>
    <col min="33" max="33" width="17.81640625" bestFit="1" customWidth="1"/>
    <col min="34" max="34" width="18.08984375" bestFit="1" customWidth="1"/>
    <col min="35" max="35" width="17.81640625" bestFit="1" customWidth="1"/>
    <col min="36" max="36" width="18.08984375" bestFit="1" customWidth="1"/>
    <col min="37" max="37" width="17.81640625" bestFit="1" customWidth="1"/>
    <col min="38" max="38" width="28.26953125" bestFit="1" customWidth="1"/>
    <col min="39" max="39" width="17.81640625" bestFit="1" customWidth="1"/>
    <col min="40" max="40" width="18.08984375" bestFit="1" customWidth="1"/>
  </cols>
  <sheetData>
    <row r="6" spans="4:36" x14ac:dyDescent="0.35">
      <c r="H6" s="140"/>
      <c r="I6" s="140"/>
    </row>
    <row r="7" spans="4:36" x14ac:dyDescent="0.35">
      <c r="D7" s="1"/>
      <c r="E7" s="1"/>
      <c r="F7" s="1"/>
      <c r="G7" s="1"/>
      <c r="H7" s="1"/>
      <c r="I7" s="1"/>
      <c r="J7" s="1"/>
      <c r="K7" s="1"/>
      <c r="L7" s="1"/>
      <c r="M7" s="1"/>
      <c r="N7" s="1"/>
    </row>
    <row r="8" spans="4:36" x14ac:dyDescent="0.35">
      <c r="D8" s="10"/>
      <c r="E8" s="10"/>
      <c r="F8" s="31">
        <v>2018</v>
      </c>
      <c r="G8" s="31">
        <v>2018</v>
      </c>
      <c r="H8" s="31">
        <v>2018</v>
      </c>
      <c r="I8" s="31">
        <v>2019</v>
      </c>
      <c r="J8" s="31">
        <v>2019</v>
      </c>
      <c r="K8" s="31">
        <v>2019</v>
      </c>
      <c r="L8" s="31">
        <v>2019</v>
      </c>
      <c r="M8" s="65">
        <v>2020</v>
      </c>
      <c r="N8" s="161" t="s">
        <v>115</v>
      </c>
      <c r="O8" s="69">
        <v>2020</v>
      </c>
      <c r="P8" s="31">
        <v>2020</v>
      </c>
      <c r="Q8" s="31">
        <v>2020</v>
      </c>
      <c r="R8" s="31">
        <v>2021</v>
      </c>
      <c r="S8" s="31">
        <v>2021</v>
      </c>
      <c r="T8" s="31">
        <v>2021</v>
      </c>
      <c r="U8" s="31">
        <v>2021</v>
      </c>
      <c r="V8" s="31">
        <v>2022</v>
      </c>
    </row>
    <row r="9" spans="4:36" x14ac:dyDescent="0.35">
      <c r="D9" s="10"/>
      <c r="E9" s="10"/>
      <c r="F9" s="31" t="s">
        <v>37</v>
      </c>
      <c r="G9" s="31" t="s">
        <v>42</v>
      </c>
      <c r="H9" s="31" t="s">
        <v>43</v>
      </c>
      <c r="I9" s="31" t="s">
        <v>36</v>
      </c>
      <c r="J9" s="31" t="s">
        <v>37</v>
      </c>
      <c r="K9" s="31" t="s">
        <v>42</v>
      </c>
      <c r="L9" s="31" t="s">
        <v>43</v>
      </c>
      <c r="M9" s="65" t="s">
        <v>36</v>
      </c>
      <c r="N9" s="161"/>
      <c r="O9" s="69" t="s">
        <v>37</v>
      </c>
      <c r="P9" s="31" t="s">
        <v>42</v>
      </c>
      <c r="Q9" s="31" t="s">
        <v>43</v>
      </c>
      <c r="R9" s="31" t="s">
        <v>36</v>
      </c>
      <c r="S9" s="31" t="s">
        <v>37</v>
      </c>
      <c r="T9" s="31" t="s">
        <v>42</v>
      </c>
      <c r="U9" s="31" t="s">
        <v>43</v>
      </c>
      <c r="V9" s="31" t="s">
        <v>36</v>
      </c>
      <c r="AA9" s="63" t="s">
        <v>0</v>
      </c>
      <c r="AB9" s="63" t="s">
        <v>93</v>
      </c>
      <c r="AC9" s="63" t="s">
        <v>103</v>
      </c>
      <c r="AD9" s="63" t="s">
        <v>102</v>
      </c>
      <c r="AE9" s="63" t="s">
        <v>97</v>
      </c>
      <c r="AF9" s="63" t="s">
        <v>98</v>
      </c>
      <c r="AG9" s="63" t="s">
        <v>99</v>
      </c>
      <c r="AH9" s="63" t="s">
        <v>100</v>
      </c>
      <c r="AI9" s="63" t="s">
        <v>104</v>
      </c>
      <c r="AJ9" s="63" t="s">
        <v>105</v>
      </c>
    </row>
    <row r="10" spans="4:36" x14ac:dyDescent="0.35">
      <c r="D10" s="47" t="s">
        <v>106</v>
      </c>
      <c r="E10" s="47" t="s">
        <v>90</v>
      </c>
      <c r="F10" s="48">
        <v>1757.1</v>
      </c>
      <c r="G10" s="48">
        <v>1779.5</v>
      </c>
      <c r="H10" s="48">
        <v>1776.2</v>
      </c>
      <c r="I10" s="48">
        <v>1762.9</v>
      </c>
      <c r="J10" s="48">
        <v>1777.3999999999999</v>
      </c>
      <c r="K10" s="48">
        <v>1857.6999999999998</v>
      </c>
      <c r="L10" s="48">
        <v>1885.5999999999997</v>
      </c>
      <c r="M10" s="66">
        <v>1895.4</v>
      </c>
      <c r="N10" s="161"/>
      <c r="O10" s="61">
        <v>1958.6</v>
      </c>
      <c r="P10" s="48">
        <v>2007</v>
      </c>
      <c r="Q10" s="48">
        <v>2048.6000000000004</v>
      </c>
      <c r="R10" s="48">
        <v>2039.3999999999999</v>
      </c>
      <c r="S10" s="48">
        <v>2064.1</v>
      </c>
      <c r="T10" s="48">
        <v>2142</v>
      </c>
      <c r="U10" s="48">
        <v>2175.5</v>
      </c>
      <c r="V10" s="48">
        <v>2184.2000000000003</v>
      </c>
      <c r="AA10" s="63" t="s">
        <v>106</v>
      </c>
      <c r="AB10" s="63" t="s">
        <v>90</v>
      </c>
      <c r="AC10" s="63">
        <v>1.2748278413294685E-2</v>
      </c>
      <c r="AD10" s="63">
        <v>-7.4878955072626699E-3</v>
      </c>
      <c r="AE10" s="63">
        <v>4.517835039945986E-2</v>
      </c>
      <c r="AF10" s="63">
        <v>5.1972846839204558E-3</v>
      </c>
      <c r="AG10" s="63">
        <v>2.4711528642908247E-2</v>
      </c>
      <c r="AH10" s="63">
        <v>-4.4908718148982223E-3</v>
      </c>
      <c r="AI10" s="63">
        <v>3.7740419553316258E-2</v>
      </c>
      <c r="AJ10" s="63">
        <v>3.9990806711102155E-3</v>
      </c>
    </row>
    <row r="11" spans="4:36" x14ac:dyDescent="0.35">
      <c r="D11" s="47" t="s">
        <v>106</v>
      </c>
      <c r="E11" s="47" t="s">
        <v>61</v>
      </c>
      <c r="F11" s="48">
        <v>689.3</v>
      </c>
      <c r="G11" s="48">
        <v>705.5</v>
      </c>
      <c r="H11" s="48">
        <v>707.3</v>
      </c>
      <c r="I11" s="48">
        <v>709.40000000000009</v>
      </c>
      <c r="J11" s="48">
        <v>711</v>
      </c>
      <c r="K11" s="48">
        <v>719</v>
      </c>
      <c r="L11" s="48">
        <v>720.1</v>
      </c>
      <c r="M11" s="66">
        <v>728.90000000000009</v>
      </c>
      <c r="N11" s="161"/>
      <c r="O11" s="61">
        <v>732.5</v>
      </c>
      <c r="P11" s="48">
        <v>746.80000000000007</v>
      </c>
      <c r="Q11" s="48">
        <v>749.69999999999993</v>
      </c>
      <c r="R11" s="48">
        <v>768.5</v>
      </c>
      <c r="S11" s="48">
        <v>771.5</v>
      </c>
      <c r="T11" s="48">
        <v>800.90000000000009</v>
      </c>
      <c r="U11" s="48">
        <v>805.9</v>
      </c>
      <c r="V11" s="48">
        <v>831.69999999999993</v>
      </c>
      <c r="AA11" s="63" t="s">
        <v>106</v>
      </c>
      <c r="AB11" s="63" t="s">
        <v>61</v>
      </c>
      <c r="AC11" s="63">
        <v>2.350210358334549E-2</v>
      </c>
      <c r="AD11" s="63">
        <v>2.9690371836563504E-3</v>
      </c>
      <c r="AE11" s="63">
        <v>1.1251758087201125E-2</v>
      </c>
      <c r="AF11" s="63">
        <v>1.2220524927093553E-2</v>
      </c>
      <c r="AG11" s="63">
        <v>1.9522184300341389E-2</v>
      </c>
      <c r="AH11" s="63">
        <v>2.5076697345605001E-2</v>
      </c>
      <c r="AI11" s="63">
        <v>3.8107582631237966E-2</v>
      </c>
      <c r="AJ11" s="63">
        <v>3.2013897505893979E-2</v>
      </c>
    </row>
    <row r="12" spans="4:36" x14ac:dyDescent="0.35">
      <c r="D12" s="47" t="s">
        <v>106</v>
      </c>
      <c r="E12" s="47" t="s">
        <v>23</v>
      </c>
      <c r="F12" s="48">
        <v>135.19999999999999</v>
      </c>
      <c r="G12" s="48">
        <v>138.4</v>
      </c>
      <c r="H12" s="48">
        <v>142.1</v>
      </c>
      <c r="I12" s="48">
        <v>146.19999999999999</v>
      </c>
      <c r="J12" s="48">
        <v>146.55000000000001</v>
      </c>
      <c r="K12" s="48">
        <v>149</v>
      </c>
      <c r="L12" s="48">
        <v>149.4</v>
      </c>
      <c r="M12" s="66">
        <v>152.30000000000001</v>
      </c>
      <c r="N12" s="161"/>
      <c r="O12" s="61">
        <v>150.69999999999999</v>
      </c>
      <c r="P12" s="48">
        <v>155.6</v>
      </c>
      <c r="Q12" s="48">
        <v>156.30000000000001</v>
      </c>
      <c r="R12" s="48">
        <v>161.69999999999999</v>
      </c>
      <c r="S12" s="48">
        <v>162.30000000000001</v>
      </c>
      <c r="T12" s="48">
        <v>168.4</v>
      </c>
      <c r="U12" s="48">
        <v>169.1</v>
      </c>
      <c r="V12" s="48">
        <v>173</v>
      </c>
      <c r="AA12" s="63" t="s">
        <v>106</v>
      </c>
      <c r="AB12" s="63" t="s">
        <v>23</v>
      </c>
      <c r="AC12" s="63">
        <v>2.3668639053254566E-2</v>
      </c>
      <c r="AD12" s="63">
        <v>2.8852920478536204E-2</v>
      </c>
      <c r="AE12" s="63">
        <v>1.6717843739338031E-2</v>
      </c>
      <c r="AF12" s="63">
        <v>1.941097724230258E-2</v>
      </c>
      <c r="AG12" s="63">
        <v>3.2514930325149342E-2</v>
      </c>
      <c r="AH12" s="63">
        <v>3.4548944337811749E-2</v>
      </c>
      <c r="AI12" s="63">
        <v>3.7584719654959915E-2</v>
      </c>
      <c r="AJ12" s="63">
        <v>2.3063276167947993E-2</v>
      </c>
    </row>
    <row r="13" spans="4:36" x14ac:dyDescent="0.35">
      <c r="D13" s="59" t="s">
        <v>30</v>
      </c>
      <c r="E13" s="59" t="s">
        <v>90</v>
      </c>
      <c r="F13" s="56">
        <v>1780</v>
      </c>
      <c r="G13" s="56">
        <v>1799.8000000000002</v>
      </c>
      <c r="H13" s="56">
        <v>1782.2</v>
      </c>
      <c r="I13" s="56">
        <v>1761.2000000000003</v>
      </c>
      <c r="J13" s="56">
        <v>1771.6500000000003</v>
      </c>
      <c r="K13" s="56">
        <v>1848.7</v>
      </c>
      <c r="L13" s="56">
        <v>1876.8999999999996</v>
      </c>
      <c r="M13" s="67">
        <v>1894.5999999999997</v>
      </c>
      <c r="N13" s="161"/>
      <c r="O13" s="70">
        <v>1950.0333333333333</v>
      </c>
      <c r="P13" s="56">
        <v>1987.3999999999999</v>
      </c>
      <c r="Q13" s="56">
        <v>2030.9</v>
      </c>
      <c r="R13" s="56">
        <v>2025.7</v>
      </c>
      <c r="S13" s="56">
        <v>2049.5</v>
      </c>
      <c r="T13" s="56">
        <v>2133.6</v>
      </c>
      <c r="U13" s="56">
        <v>2164.1999999999998</v>
      </c>
      <c r="V13" s="56">
        <v>2179.1000000000004</v>
      </c>
      <c r="AA13" s="63" t="s">
        <v>30</v>
      </c>
      <c r="AB13" s="63" t="s">
        <v>90</v>
      </c>
      <c r="AC13" s="63">
        <v>1.112359550561808E-2</v>
      </c>
      <c r="AD13" s="63">
        <v>-1.1783189316574893E-2</v>
      </c>
      <c r="AE13" s="63">
        <v>4.3490531425507135E-2</v>
      </c>
      <c r="AF13" s="63">
        <v>9.4304438169322009E-3</v>
      </c>
      <c r="AG13" s="63">
        <v>1.9162065605716087E-2</v>
      </c>
      <c r="AH13" s="63">
        <v>-2.5604411837116771E-3</v>
      </c>
      <c r="AI13" s="63">
        <v>4.1034398633813078E-2</v>
      </c>
      <c r="AJ13" s="63">
        <v>6.8847611126515787E-3</v>
      </c>
    </row>
    <row r="14" spans="4:36" x14ac:dyDescent="0.35">
      <c r="D14" s="59" t="s">
        <v>30</v>
      </c>
      <c r="E14" s="59" t="s">
        <v>61</v>
      </c>
      <c r="F14" s="56">
        <v>711.5</v>
      </c>
      <c r="G14" s="56">
        <v>727</v>
      </c>
      <c r="H14" s="56">
        <v>723.8</v>
      </c>
      <c r="I14" s="56">
        <v>732.4</v>
      </c>
      <c r="J14" s="56">
        <v>733.94999999999993</v>
      </c>
      <c r="K14" s="56">
        <v>741.09999999999991</v>
      </c>
      <c r="L14" s="56">
        <v>741.8</v>
      </c>
      <c r="M14" s="67">
        <v>750.5</v>
      </c>
      <c r="N14" s="161"/>
      <c r="O14" s="70">
        <v>754.33333333333337</v>
      </c>
      <c r="P14" s="56">
        <v>765.6</v>
      </c>
      <c r="Q14" s="56">
        <v>770.19999999999993</v>
      </c>
      <c r="R14" s="56">
        <v>788</v>
      </c>
      <c r="S14" s="56">
        <v>791.49999999999989</v>
      </c>
      <c r="T14" s="56">
        <v>824.7</v>
      </c>
      <c r="U14" s="56">
        <v>830.5</v>
      </c>
      <c r="V14" s="56">
        <v>856.30000000000007</v>
      </c>
      <c r="AA14" s="63" t="s">
        <v>30</v>
      </c>
      <c r="AB14" s="63" t="s">
        <v>61</v>
      </c>
      <c r="AC14" s="63">
        <v>2.1784961349262121E-2</v>
      </c>
      <c r="AD14" s="63">
        <v>1.1881735285990637E-2</v>
      </c>
      <c r="AE14" s="63">
        <v>9.741808025069798E-3</v>
      </c>
      <c r="AF14" s="63">
        <v>1.1728228633054795E-2</v>
      </c>
      <c r="AG14" s="63">
        <v>1.4935925762262462E-2</v>
      </c>
      <c r="AH14" s="63">
        <v>2.3110880290833639E-2</v>
      </c>
      <c r="AI14" s="63">
        <v>4.194567277321562E-2</v>
      </c>
      <c r="AJ14" s="63">
        <v>3.1065623118603333E-2</v>
      </c>
    </row>
    <row r="15" spans="4:36" x14ac:dyDescent="0.35">
      <c r="D15" s="59" t="s">
        <v>30</v>
      </c>
      <c r="E15" s="59" t="s">
        <v>23</v>
      </c>
      <c r="F15" s="56">
        <v>137.6</v>
      </c>
      <c r="G15" s="56">
        <v>140</v>
      </c>
      <c r="H15" s="56">
        <v>144.80000000000001</v>
      </c>
      <c r="I15" s="56">
        <v>150.4</v>
      </c>
      <c r="J15" s="56">
        <v>150.85000000000002</v>
      </c>
      <c r="K15" s="56">
        <v>153.4</v>
      </c>
      <c r="L15" s="56">
        <v>153.69999999999999</v>
      </c>
      <c r="M15" s="67">
        <v>156.69999999999999</v>
      </c>
      <c r="N15" s="161"/>
      <c r="O15" s="70">
        <v>154.30000000000001</v>
      </c>
      <c r="P15" s="56">
        <v>159.1</v>
      </c>
      <c r="Q15" s="56">
        <v>159.5</v>
      </c>
      <c r="R15" s="56">
        <v>164.6</v>
      </c>
      <c r="S15" s="56">
        <v>165.3</v>
      </c>
      <c r="T15" s="56">
        <v>171.9</v>
      </c>
      <c r="U15" s="56">
        <v>172.5</v>
      </c>
      <c r="V15" s="56">
        <v>176</v>
      </c>
      <c r="AA15" s="63" t="s">
        <v>30</v>
      </c>
      <c r="AB15" s="63" t="s">
        <v>23</v>
      </c>
      <c r="AC15" s="63">
        <v>1.744186046511632E-2</v>
      </c>
      <c r="AD15" s="63">
        <v>3.8674033149171227E-2</v>
      </c>
      <c r="AE15" s="63">
        <v>1.6904209479615396E-2</v>
      </c>
      <c r="AF15" s="63">
        <v>1.9518542615484712E-2</v>
      </c>
      <c r="AG15" s="63">
        <v>3.1108230719377721E-2</v>
      </c>
      <c r="AH15" s="63">
        <v>3.1974921630094008E-2</v>
      </c>
      <c r="AI15" s="63">
        <v>3.992740471869325E-2</v>
      </c>
      <c r="AJ15" s="63">
        <v>2.0289855072463767E-2</v>
      </c>
    </row>
    <row r="16" spans="4:36" x14ac:dyDescent="0.35">
      <c r="D16" s="60" t="s">
        <v>107</v>
      </c>
      <c r="E16" s="60" t="s">
        <v>90</v>
      </c>
      <c r="F16" s="57">
        <v>1720.0000000000002</v>
      </c>
      <c r="G16" s="57">
        <v>1748.4</v>
      </c>
      <c r="H16" s="57">
        <v>1754.1</v>
      </c>
      <c r="I16" s="57">
        <v>1768.4</v>
      </c>
      <c r="J16" s="57">
        <v>1789.95</v>
      </c>
      <c r="K16" s="57">
        <v>1874.9</v>
      </c>
      <c r="L16" s="57">
        <v>1902.6000000000001</v>
      </c>
      <c r="M16" s="68">
        <v>1898.5</v>
      </c>
      <c r="N16" s="161"/>
      <c r="O16" s="71">
        <v>1974</v>
      </c>
      <c r="P16" s="57">
        <v>2041.6000000000001</v>
      </c>
      <c r="Q16" s="57">
        <v>2080.1999999999998</v>
      </c>
      <c r="R16" s="57">
        <v>2064.4999999999995</v>
      </c>
      <c r="S16" s="57">
        <v>2089.6</v>
      </c>
      <c r="T16" s="57">
        <v>2157.9</v>
      </c>
      <c r="U16" s="57">
        <v>2198.4000000000005</v>
      </c>
      <c r="V16" s="57">
        <v>2196.3000000000002</v>
      </c>
      <c r="AA16" s="63" t="s">
        <v>107</v>
      </c>
      <c r="AB16" s="63" t="s">
        <v>90</v>
      </c>
      <c r="AC16" s="63">
        <v>1.6511627906976661E-2</v>
      </c>
      <c r="AD16" s="63">
        <v>8.1523288295993288E-3</v>
      </c>
      <c r="AE16" s="63">
        <v>4.7459426240956476E-2</v>
      </c>
      <c r="AF16" s="63">
        <v>-2.1549458635552066E-3</v>
      </c>
      <c r="AG16" s="63">
        <v>3.4245187436676865E-2</v>
      </c>
      <c r="AH16" s="63">
        <v>-7.5473512162293407E-3</v>
      </c>
      <c r="AI16" s="63">
        <v>3.2685681470137916E-2</v>
      </c>
      <c r="AJ16" s="63">
        <v>-9.5524017467265437E-4</v>
      </c>
    </row>
    <row r="17" spans="4:40" x14ac:dyDescent="0.35">
      <c r="D17" s="60" t="s">
        <v>107</v>
      </c>
      <c r="E17" s="60" t="s">
        <v>61</v>
      </c>
      <c r="F17" s="57">
        <v>660</v>
      </c>
      <c r="G17" s="57">
        <v>676.90000000000009</v>
      </c>
      <c r="H17" s="57">
        <v>679.8</v>
      </c>
      <c r="I17" s="57">
        <v>682.89999999999986</v>
      </c>
      <c r="J17" s="57">
        <v>684.44999999999993</v>
      </c>
      <c r="K17" s="57">
        <v>693.6</v>
      </c>
      <c r="L17" s="57">
        <v>695.40000000000009</v>
      </c>
      <c r="M17" s="68">
        <v>704.2</v>
      </c>
      <c r="N17" s="161"/>
      <c r="O17" s="71">
        <v>707.69999999999993</v>
      </c>
      <c r="P17" s="57">
        <v>724.6</v>
      </c>
      <c r="Q17" s="57">
        <v>726</v>
      </c>
      <c r="R17" s="57">
        <v>745.69999999999993</v>
      </c>
      <c r="S17" s="57">
        <v>748.30000000000007</v>
      </c>
      <c r="T17" s="57">
        <v>771.59999999999991</v>
      </c>
      <c r="U17" s="57">
        <v>776</v>
      </c>
      <c r="V17" s="57">
        <v>801.5</v>
      </c>
      <c r="AA17" s="63" t="s">
        <v>107</v>
      </c>
      <c r="AB17" s="63" t="s">
        <v>61</v>
      </c>
      <c r="AC17" s="63">
        <v>2.5606060606060743E-2</v>
      </c>
      <c r="AD17" s="63">
        <v>4.5601647543393785E-3</v>
      </c>
      <c r="AE17" s="63">
        <v>1.3368397983782733E-2</v>
      </c>
      <c r="AF17" s="63">
        <v>1.2654587287891794E-2</v>
      </c>
      <c r="AG17" s="63">
        <v>2.388017521548692E-2</v>
      </c>
      <c r="AH17" s="63">
        <v>2.7134986225895222E-2</v>
      </c>
      <c r="AI17" s="63">
        <v>3.1137244420686674E-2</v>
      </c>
      <c r="AJ17" s="63">
        <v>3.2860824742268042E-2</v>
      </c>
    </row>
    <row r="18" spans="4:40" x14ac:dyDescent="0.35">
      <c r="D18" s="60" t="s">
        <v>107</v>
      </c>
      <c r="E18" s="60" t="s">
        <v>23</v>
      </c>
      <c r="F18" s="57">
        <v>131.30000000000001</v>
      </c>
      <c r="G18" s="57">
        <v>135.69999999999999</v>
      </c>
      <c r="H18" s="57">
        <v>136.19999999999999</v>
      </c>
      <c r="I18" s="57">
        <v>139.19999999999999</v>
      </c>
      <c r="J18" s="57">
        <v>139.5</v>
      </c>
      <c r="K18" s="57">
        <v>141.9</v>
      </c>
      <c r="L18" s="57">
        <v>142.4</v>
      </c>
      <c r="M18" s="68">
        <v>145</v>
      </c>
      <c r="N18" s="161"/>
      <c r="O18" s="71">
        <v>144.80000000000001</v>
      </c>
      <c r="P18" s="57">
        <v>150</v>
      </c>
      <c r="Q18" s="57">
        <v>151</v>
      </c>
      <c r="R18" s="57">
        <v>156.9</v>
      </c>
      <c r="S18" s="57">
        <v>157.5</v>
      </c>
      <c r="T18" s="57">
        <v>162.80000000000001</v>
      </c>
      <c r="U18" s="57">
        <v>163.5</v>
      </c>
      <c r="V18" s="57">
        <v>168.2</v>
      </c>
      <c r="AA18" s="63" t="s">
        <v>107</v>
      </c>
      <c r="AB18" s="63" t="s">
        <v>23</v>
      </c>
      <c r="AC18" s="63">
        <v>3.3511043412033335E-2</v>
      </c>
      <c r="AD18" s="63">
        <v>2.2026431718061675E-2</v>
      </c>
      <c r="AE18" s="63">
        <v>1.7204301075268859E-2</v>
      </c>
      <c r="AF18" s="63">
        <v>1.8258426966292093E-2</v>
      </c>
      <c r="AG18" s="63">
        <v>3.5911602209944667E-2</v>
      </c>
      <c r="AH18" s="63">
        <v>3.9072847682119244E-2</v>
      </c>
      <c r="AI18" s="63">
        <v>3.3650793650793723E-2</v>
      </c>
      <c r="AJ18" s="63">
        <v>2.8746177370030511E-2</v>
      </c>
    </row>
    <row r="21" spans="4:40" x14ac:dyDescent="0.35">
      <c r="W21" s="1"/>
      <c r="X21" s="1"/>
    </row>
    <row r="22" spans="4:40" x14ac:dyDescent="0.35">
      <c r="W22" s="1"/>
      <c r="X22" s="1"/>
    </row>
    <row r="23" spans="4:40" x14ac:dyDescent="0.35">
      <c r="W23" s="1"/>
      <c r="X23" s="1"/>
    </row>
    <row r="24" spans="4:40" x14ac:dyDescent="0.35">
      <c r="W24" s="1"/>
      <c r="X24" s="1"/>
    </row>
    <row r="25" spans="4:40" x14ac:dyDescent="0.35">
      <c r="D25" s="76" t="s">
        <v>0</v>
      </c>
      <c r="E25" s="76" t="s">
        <v>93</v>
      </c>
      <c r="F25" s="49" t="s">
        <v>103</v>
      </c>
      <c r="G25" s="76" t="s">
        <v>102</v>
      </c>
      <c r="H25" s="76" t="s">
        <v>97</v>
      </c>
      <c r="I25" s="76" t="s">
        <v>98</v>
      </c>
      <c r="J25" s="76" t="s">
        <v>99</v>
      </c>
      <c r="K25" s="76" t="s">
        <v>100</v>
      </c>
      <c r="L25" s="76" t="s">
        <v>104</v>
      </c>
      <c r="M25" s="76" t="s">
        <v>105</v>
      </c>
      <c r="N25" s="63"/>
      <c r="P25" s="76" t="s">
        <v>0</v>
      </c>
      <c r="Q25" s="76" t="s">
        <v>93</v>
      </c>
      <c r="R25" s="49" t="s">
        <v>103</v>
      </c>
      <c r="S25" s="76" t="s">
        <v>102</v>
      </c>
      <c r="T25" s="76" t="s">
        <v>97</v>
      </c>
      <c r="U25" s="76" t="s">
        <v>98</v>
      </c>
      <c r="V25" s="76" t="s">
        <v>99</v>
      </c>
      <c r="W25" s="76" t="s">
        <v>100</v>
      </c>
      <c r="X25" s="76" t="s">
        <v>104</v>
      </c>
      <c r="Y25" s="76" t="s">
        <v>105</v>
      </c>
      <c r="AC25" s="76" t="s">
        <v>0</v>
      </c>
      <c r="AD25" s="76" t="s">
        <v>93</v>
      </c>
      <c r="AE25" s="49" t="s">
        <v>103</v>
      </c>
      <c r="AF25" s="76" t="s">
        <v>102</v>
      </c>
      <c r="AG25" s="76" t="s">
        <v>97</v>
      </c>
      <c r="AH25" s="76" t="s">
        <v>98</v>
      </c>
      <c r="AI25" s="76" t="s">
        <v>99</v>
      </c>
      <c r="AJ25" s="76" t="s">
        <v>100</v>
      </c>
      <c r="AK25" s="76" t="s">
        <v>104</v>
      </c>
      <c r="AL25" s="76" t="s">
        <v>105</v>
      </c>
      <c r="AM25" s="63"/>
      <c r="AN25" s="63"/>
    </row>
    <row r="26" spans="4:40" x14ac:dyDescent="0.35">
      <c r="D26" s="77" t="s">
        <v>106</v>
      </c>
      <c r="E26" s="77" t="s">
        <v>90</v>
      </c>
      <c r="F26" s="10">
        <v>1.2748278413294685E-2</v>
      </c>
      <c r="G26" s="62">
        <v>-7.4878955072626699E-3</v>
      </c>
      <c r="H26" s="62">
        <v>4.517835039945986E-2</v>
      </c>
      <c r="I26" s="62">
        <v>5.1972846839204558E-3</v>
      </c>
      <c r="J26" s="62">
        <v>2.4711528642908247E-2</v>
      </c>
      <c r="K26" s="62">
        <v>-4.4908718148982223E-3</v>
      </c>
      <c r="L26" s="62">
        <v>3.7740419553316258E-2</v>
      </c>
      <c r="M26" s="62">
        <v>3.9990806711102155E-3</v>
      </c>
      <c r="N26" s="63"/>
      <c r="P26" s="42" t="s">
        <v>30</v>
      </c>
      <c r="Q26" s="42" t="s">
        <v>90</v>
      </c>
      <c r="R26" s="10">
        <v>1.112359550561808E-2</v>
      </c>
      <c r="S26" s="10">
        <v>-1.1783189316574893E-2</v>
      </c>
      <c r="T26" s="10">
        <v>4.3490531425507135E-2</v>
      </c>
      <c r="U26" s="10">
        <v>9.4304438169322009E-3</v>
      </c>
      <c r="V26" s="10">
        <v>1.9162065605716087E-2</v>
      </c>
      <c r="W26" s="10">
        <v>-2.5604411837116771E-3</v>
      </c>
      <c r="X26" s="10">
        <v>4.1034398633813078E-2</v>
      </c>
      <c r="Y26" s="10">
        <v>6.8847611126515787E-3</v>
      </c>
      <c r="AC26" s="42" t="s">
        <v>107</v>
      </c>
      <c r="AD26" s="42" t="s">
        <v>90</v>
      </c>
      <c r="AE26" s="10">
        <v>1.6511627906976661E-2</v>
      </c>
      <c r="AF26" s="10">
        <v>8.1523288295993288E-3</v>
      </c>
      <c r="AG26" s="10">
        <v>4.7459426240956476E-2</v>
      </c>
      <c r="AH26" s="10">
        <v>-2.1549458635552066E-3</v>
      </c>
      <c r="AI26" s="10">
        <v>3.4245187436676865E-2</v>
      </c>
      <c r="AJ26" s="10">
        <v>-7.5473512162293407E-3</v>
      </c>
      <c r="AK26" s="10">
        <v>3.2685681470137916E-2</v>
      </c>
      <c r="AL26" s="10">
        <v>-9.5524017467265437E-4</v>
      </c>
    </row>
    <row r="27" spans="4:40" x14ac:dyDescent="0.35">
      <c r="D27" s="77" t="s">
        <v>106</v>
      </c>
      <c r="E27" s="77" t="s">
        <v>61</v>
      </c>
      <c r="F27" s="10">
        <v>2.350210358334549E-2</v>
      </c>
      <c r="G27" s="10">
        <v>2.9690371836563504E-3</v>
      </c>
      <c r="H27" s="10">
        <v>1.1251758087201125E-2</v>
      </c>
      <c r="I27" s="10">
        <v>1.2220524927093553E-2</v>
      </c>
      <c r="J27" s="10">
        <v>1.9522184300341389E-2</v>
      </c>
      <c r="K27" s="10">
        <v>2.5076697345605001E-2</v>
      </c>
      <c r="L27" s="10">
        <v>3.8107582631237966E-2</v>
      </c>
      <c r="M27" s="10">
        <v>3.2013897505893979E-2</v>
      </c>
      <c r="P27" s="42" t="s">
        <v>30</v>
      </c>
      <c r="Q27" s="42" t="s">
        <v>61</v>
      </c>
      <c r="R27" s="10">
        <v>2.1784961349262121E-2</v>
      </c>
      <c r="S27" s="10">
        <v>1.1881735285990637E-2</v>
      </c>
      <c r="T27" s="10">
        <v>9.741808025069798E-3</v>
      </c>
      <c r="U27" s="10">
        <v>1.1728228633054795E-2</v>
      </c>
      <c r="V27" s="10">
        <v>1.4935925762262462E-2</v>
      </c>
      <c r="W27" s="10">
        <v>2.3110880290833639E-2</v>
      </c>
      <c r="X27" s="10">
        <v>4.194567277321562E-2</v>
      </c>
      <c r="Y27" s="10">
        <v>3.1065623118603333E-2</v>
      </c>
      <c r="AC27" s="42" t="s">
        <v>107</v>
      </c>
      <c r="AD27" s="42" t="s">
        <v>61</v>
      </c>
      <c r="AE27" s="10">
        <v>2.5606060606060743E-2</v>
      </c>
      <c r="AF27" s="10">
        <v>4.5601647543393785E-3</v>
      </c>
      <c r="AG27" s="10">
        <v>1.3368397983782733E-2</v>
      </c>
      <c r="AH27" s="10">
        <v>1.2654587287891794E-2</v>
      </c>
      <c r="AI27" s="10">
        <v>2.388017521548692E-2</v>
      </c>
      <c r="AJ27" s="10">
        <v>2.7134986225895222E-2</v>
      </c>
      <c r="AK27" s="10">
        <v>3.1137244420686674E-2</v>
      </c>
      <c r="AL27" s="10">
        <v>3.2860824742268042E-2</v>
      </c>
    </row>
    <row r="28" spans="4:40" x14ac:dyDescent="0.35">
      <c r="D28" s="42" t="s">
        <v>106</v>
      </c>
      <c r="E28" s="42" t="s">
        <v>23</v>
      </c>
      <c r="F28" s="10">
        <v>2.3668639053254566E-2</v>
      </c>
      <c r="G28" s="10">
        <v>2.8852920478536204E-2</v>
      </c>
      <c r="H28" s="10">
        <v>1.6717843739338031E-2</v>
      </c>
      <c r="I28" s="10">
        <v>1.941097724230258E-2</v>
      </c>
      <c r="J28" s="10">
        <v>3.2514930325149342E-2</v>
      </c>
      <c r="K28" s="10">
        <v>3.4548944337811749E-2</v>
      </c>
      <c r="L28" s="10">
        <v>3.7584719654959915E-2</v>
      </c>
      <c r="M28" s="10">
        <v>2.3063276167947993E-2</v>
      </c>
      <c r="O28" s="1"/>
      <c r="P28" s="42" t="s">
        <v>30</v>
      </c>
      <c r="Q28" s="42" t="s">
        <v>23</v>
      </c>
      <c r="R28" s="10">
        <v>1.744186046511632E-2</v>
      </c>
      <c r="S28" s="10">
        <v>3.8674033149171227E-2</v>
      </c>
      <c r="T28" s="10">
        <v>1.6904209479615396E-2</v>
      </c>
      <c r="U28" s="10">
        <v>1.9518542615484712E-2</v>
      </c>
      <c r="V28" s="10">
        <v>3.1108230719377721E-2</v>
      </c>
      <c r="W28" s="10">
        <v>3.1974921630094008E-2</v>
      </c>
      <c r="X28" s="10">
        <v>3.992740471869325E-2</v>
      </c>
      <c r="Y28" s="10">
        <v>2.0289855072463767E-2</v>
      </c>
      <c r="AC28" s="42" t="s">
        <v>107</v>
      </c>
      <c r="AD28" s="42" t="s">
        <v>23</v>
      </c>
      <c r="AE28" s="10">
        <v>3.3511043412033335E-2</v>
      </c>
      <c r="AF28" s="10">
        <v>2.2026431718061675E-2</v>
      </c>
      <c r="AG28" s="10">
        <v>1.7204301075268859E-2</v>
      </c>
      <c r="AH28" s="10">
        <v>1.8258426966292093E-2</v>
      </c>
      <c r="AI28" s="10">
        <v>3.5911602209944667E-2</v>
      </c>
      <c r="AJ28" s="10">
        <v>3.9072847682119244E-2</v>
      </c>
      <c r="AK28" s="10">
        <v>3.3650793650793723E-2</v>
      </c>
      <c r="AL28" s="10">
        <v>2.8746177370030511E-2</v>
      </c>
    </row>
    <row r="29" spans="4:40" x14ac:dyDescent="0.35">
      <c r="O29" s="63"/>
      <c r="P29" s="63"/>
      <c r="Q29" s="63"/>
      <c r="R29" s="63"/>
      <c r="T29" s="63"/>
      <c r="U29" s="63"/>
      <c r="V29" s="63"/>
      <c r="W29" s="1"/>
      <c r="X29" s="1"/>
    </row>
    <row r="30" spans="4:40" x14ac:dyDescent="0.35">
      <c r="O30" s="63"/>
      <c r="P30" s="63"/>
      <c r="Q30" s="63"/>
      <c r="R30" s="63"/>
      <c r="T30" s="63"/>
      <c r="U30" s="63"/>
      <c r="V30" s="63"/>
      <c r="W30" s="63"/>
      <c r="X30" s="63"/>
      <c r="Y30" s="63"/>
      <c r="Z30" s="63"/>
      <c r="AA30" s="63"/>
      <c r="AB30" s="63"/>
    </row>
    <row r="31" spans="4:40" x14ac:dyDescent="0.35">
      <c r="O31" s="63"/>
      <c r="P31" s="63"/>
      <c r="Q31" s="63"/>
      <c r="R31" s="63"/>
      <c r="T31" s="63"/>
      <c r="U31" s="63"/>
      <c r="V31" s="63"/>
      <c r="W31" s="63"/>
      <c r="X31" s="63"/>
      <c r="Y31" s="63"/>
      <c r="Z31" s="63"/>
      <c r="AA31" s="63"/>
      <c r="AB31" s="63"/>
    </row>
    <row r="32" spans="4:40" x14ac:dyDescent="0.35">
      <c r="O32" s="63"/>
      <c r="P32" s="63"/>
      <c r="Q32" s="63"/>
      <c r="R32" s="63"/>
      <c r="T32" s="63"/>
      <c r="U32" s="63"/>
      <c r="V32" s="63"/>
      <c r="W32" s="63"/>
      <c r="X32" s="63"/>
      <c r="Y32" s="63"/>
      <c r="Z32" s="63"/>
      <c r="AA32" s="63"/>
      <c r="AB32" s="63"/>
    </row>
    <row r="33" spans="4:28" x14ac:dyDescent="0.35">
      <c r="O33" s="63"/>
      <c r="P33" s="63"/>
      <c r="Q33" s="63"/>
      <c r="R33" s="63"/>
      <c r="T33" s="63"/>
      <c r="U33" s="63"/>
      <c r="V33" s="63"/>
      <c r="W33" s="63"/>
      <c r="X33" s="63"/>
      <c r="Y33" s="63"/>
      <c r="Z33" s="63"/>
      <c r="AA33" s="63"/>
      <c r="AB33" s="63"/>
    </row>
    <row r="34" spans="4:28" x14ac:dyDescent="0.35">
      <c r="O34" s="63"/>
      <c r="P34" s="63"/>
      <c r="Q34" s="63"/>
      <c r="R34" s="63"/>
      <c r="T34" s="63"/>
      <c r="U34" s="63"/>
      <c r="V34" s="63"/>
      <c r="W34" s="63"/>
      <c r="X34" s="63"/>
      <c r="Y34" s="63"/>
      <c r="Z34" s="63"/>
      <c r="AA34" s="63"/>
      <c r="AB34" s="63"/>
    </row>
    <row r="35" spans="4:28" x14ac:dyDescent="0.35">
      <c r="O35" s="63"/>
      <c r="P35" s="63"/>
      <c r="Q35" s="63"/>
      <c r="R35" s="63"/>
      <c r="T35" s="63"/>
      <c r="U35" s="63"/>
      <c r="V35" s="63"/>
      <c r="W35" s="63"/>
      <c r="X35" s="63"/>
      <c r="Y35" s="63"/>
      <c r="Z35" s="63"/>
      <c r="AA35" s="63"/>
      <c r="AB35" s="63"/>
    </row>
    <row r="36" spans="4:28" x14ac:dyDescent="0.35">
      <c r="O36" s="63"/>
      <c r="P36" s="63"/>
      <c r="Q36" s="63"/>
      <c r="R36" s="63"/>
      <c r="T36" s="63"/>
      <c r="U36" s="63"/>
      <c r="V36" s="63"/>
      <c r="W36" s="63"/>
      <c r="X36" s="63"/>
      <c r="Y36" s="63"/>
      <c r="Z36" s="63"/>
      <c r="AA36" s="63"/>
      <c r="AB36" s="63"/>
    </row>
    <row r="37" spans="4:28" x14ac:dyDescent="0.35">
      <c r="O37" s="63"/>
      <c r="P37" s="63"/>
      <c r="Q37" s="63"/>
      <c r="R37" s="63"/>
    </row>
    <row r="38" spans="4:28" x14ac:dyDescent="0.35">
      <c r="F38" s="140"/>
      <c r="G38" s="140"/>
      <c r="J38" s="140"/>
      <c r="K38" s="140"/>
    </row>
    <row r="41" spans="4:28" x14ac:dyDescent="0.35">
      <c r="D41" s="63"/>
      <c r="E41" s="63"/>
      <c r="G41" s="63"/>
      <c r="H41" s="63"/>
      <c r="I41" s="63"/>
      <c r="J41" s="63"/>
      <c r="K41" s="63"/>
      <c r="L41" s="63"/>
      <c r="M41" s="63"/>
      <c r="N41" s="63"/>
    </row>
    <row r="42" spans="4:28" x14ac:dyDescent="0.35">
      <c r="D42" s="63"/>
      <c r="E42" s="63"/>
      <c r="G42" s="63"/>
      <c r="H42" s="63"/>
      <c r="I42" s="63"/>
      <c r="J42" s="63"/>
      <c r="K42" s="63"/>
      <c r="L42" s="63"/>
      <c r="M42" s="63"/>
      <c r="N42" s="63"/>
    </row>
    <row r="43" spans="4:28" x14ac:dyDescent="0.35">
      <c r="D43" s="63"/>
      <c r="E43" s="63"/>
    </row>
    <row r="53" spans="6:16" x14ac:dyDescent="0.35">
      <c r="J53" s="140"/>
      <c r="K53" s="140"/>
    </row>
    <row r="58" spans="6:16" x14ac:dyDescent="0.35">
      <c r="J58" s="140"/>
      <c r="K58" s="140"/>
    </row>
    <row r="61" spans="6:16" x14ac:dyDescent="0.35">
      <c r="F61" s="1"/>
      <c r="G61" s="1"/>
      <c r="H61" s="1"/>
      <c r="I61" s="1"/>
      <c r="J61" s="1"/>
      <c r="K61" s="1"/>
      <c r="L61" s="1"/>
      <c r="M61" s="1"/>
      <c r="N61" s="1"/>
      <c r="O61" s="1"/>
      <c r="P61" s="1"/>
    </row>
    <row r="62" spans="6:16" x14ac:dyDescent="0.35">
      <c r="F62" s="1"/>
      <c r="G62" s="1"/>
      <c r="H62" s="1"/>
      <c r="I62" s="1"/>
      <c r="J62" s="1"/>
      <c r="K62" s="1"/>
      <c r="L62" s="1"/>
      <c r="M62" s="1"/>
      <c r="N62" s="1"/>
      <c r="O62" s="1"/>
      <c r="P62" s="1"/>
    </row>
    <row r="63" spans="6:16" x14ac:dyDescent="0.35">
      <c r="F63" s="1"/>
      <c r="G63" s="63"/>
      <c r="H63" s="63"/>
      <c r="I63" s="63"/>
      <c r="J63" s="63"/>
      <c r="K63" s="63"/>
      <c r="L63" s="63"/>
      <c r="M63" s="63"/>
      <c r="N63" s="63"/>
      <c r="O63" s="63"/>
      <c r="P63" s="63"/>
    </row>
    <row r="64" spans="6:16" x14ac:dyDescent="0.35">
      <c r="F64" s="1"/>
      <c r="G64" s="63"/>
      <c r="H64" s="63"/>
      <c r="I64" s="63"/>
      <c r="J64" s="63"/>
      <c r="K64" s="63"/>
      <c r="L64" s="63"/>
      <c r="M64" s="63"/>
      <c r="N64" s="63"/>
      <c r="O64" s="63"/>
      <c r="P64" s="63"/>
    </row>
    <row r="65" spans="4:16" x14ac:dyDescent="0.35">
      <c r="F65" s="1"/>
      <c r="G65" s="63"/>
      <c r="H65" s="63"/>
      <c r="I65" s="63"/>
      <c r="J65" s="63"/>
      <c r="K65" s="63"/>
      <c r="L65" s="63"/>
      <c r="M65" s="63"/>
      <c r="N65" s="63"/>
      <c r="O65" s="63"/>
      <c r="P65" s="63"/>
    </row>
    <row r="66" spans="4:16" x14ac:dyDescent="0.35">
      <c r="F66" s="1"/>
      <c r="G66" s="63"/>
      <c r="H66" s="63"/>
      <c r="I66" s="63"/>
      <c r="J66" s="63"/>
      <c r="K66" s="63"/>
      <c r="L66" s="63"/>
      <c r="M66" s="63"/>
      <c r="N66" s="63"/>
      <c r="O66" s="63"/>
      <c r="P66" s="63"/>
    </row>
    <row r="67" spans="4:16" x14ac:dyDescent="0.35">
      <c r="D67" s="1"/>
      <c r="E67" s="1"/>
      <c r="F67" s="1"/>
      <c r="G67" s="1"/>
      <c r="H67" s="1"/>
      <c r="I67" s="1"/>
      <c r="J67" s="1"/>
      <c r="K67" s="1"/>
      <c r="L67" s="1"/>
      <c r="M67" s="1"/>
      <c r="N67" s="1"/>
      <c r="O67" s="63"/>
      <c r="P67" s="63"/>
    </row>
    <row r="68" spans="4:16" x14ac:dyDescent="0.35">
      <c r="D68" s="1"/>
      <c r="E68" s="1"/>
      <c r="F68" s="63"/>
      <c r="G68" s="63"/>
      <c r="H68" s="63"/>
      <c r="I68" s="63"/>
      <c r="J68" s="63"/>
      <c r="K68" s="63"/>
      <c r="L68" s="63"/>
      <c r="M68" s="63"/>
      <c r="N68" s="63"/>
      <c r="O68" s="63"/>
      <c r="P68" s="63"/>
    </row>
    <row r="69" spans="4:16" x14ac:dyDescent="0.35">
      <c r="D69" s="1"/>
      <c r="E69" s="1"/>
      <c r="F69" s="63"/>
      <c r="G69" s="63"/>
      <c r="H69" s="63"/>
      <c r="I69" s="63"/>
      <c r="J69" s="63"/>
      <c r="K69" s="63"/>
      <c r="L69" s="63"/>
      <c r="M69" s="63"/>
      <c r="N69" s="63"/>
      <c r="O69" s="63"/>
      <c r="P69" s="63"/>
    </row>
    <row r="70" spans="4:16" x14ac:dyDescent="0.35">
      <c r="D70" s="1"/>
      <c r="E70" s="1"/>
      <c r="F70" s="63"/>
      <c r="G70" s="63"/>
      <c r="H70" s="63"/>
      <c r="I70" s="63"/>
      <c r="J70" s="63"/>
      <c r="K70" s="63"/>
      <c r="L70" s="63"/>
      <c r="M70" s="63"/>
      <c r="N70" s="63"/>
      <c r="O70" s="63"/>
      <c r="P70" s="63"/>
    </row>
    <row r="71" spans="4:16" x14ac:dyDescent="0.35">
      <c r="D71" s="1"/>
      <c r="E71" s="1"/>
      <c r="F71" s="63"/>
      <c r="G71" s="63"/>
      <c r="H71" s="63"/>
      <c r="I71" s="63"/>
      <c r="J71" s="63"/>
      <c r="K71" s="63"/>
      <c r="L71" s="63"/>
      <c r="M71" s="63"/>
      <c r="N71" s="63"/>
    </row>
    <row r="72" spans="4:16" x14ac:dyDescent="0.35">
      <c r="D72" s="1"/>
      <c r="E72" s="1"/>
      <c r="F72" s="63"/>
      <c r="G72" s="63"/>
      <c r="H72" s="63"/>
      <c r="I72" s="63"/>
      <c r="J72" s="63"/>
      <c r="K72" s="63"/>
      <c r="L72" s="63"/>
      <c r="M72" s="63"/>
      <c r="N72" s="63"/>
    </row>
    <row r="73" spans="4:16" x14ac:dyDescent="0.35">
      <c r="D73" s="1"/>
      <c r="E73" s="1"/>
      <c r="F73" s="63"/>
      <c r="G73" s="63"/>
      <c r="H73" s="63"/>
      <c r="I73" s="63"/>
      <c r="J73" s="63"/>
      <c r="K73" s="63"/>
      <c r="L73" s="63"/>
      <c r="M73" s="63"/>
      <c r="N73" s="63"/>
    </row>
    <row r="74" spans="4:16" x14ac:dyDescent="0.35">
      <c r="D74" s="1"/>
      <c r="E74" s="1"/>
      <c r="F74" s="63"/>
      <c r="G74" s="63"/>
      <c r="H74" s="63"/>
      <c r="I74" s="63"/>
      <c r="J74" s="63"/>
      <c r="K74" s="63"/>
      <c r="L74" s="63"/>
      <c r="M74" s="63"/>
      <c r="N74" s="63"/>
    </row>
    <row r="75" spans="4:16" x14ac:dyDescent="0.35">
      <c r="D75" s="1"/>
      <c r="E75" s="1"/>
      <c r="F75" s="63"/>
      <c r="G75" s="63"/>
      <c r="H75" s="63"/>
      <c r="I75" s="63"/>
      <c r="J75" s="63"/>
      <c r="K75" s="63"/>
      <c r="L75" s="63"/>
      <c r="M75" s="63"/>
      <c r="N75" s="63"/>
    </row>
    <row r="76" spans="4:16" x14ac:dyDescent="0.35">
      <c r="D76" s="1"/>
      <c r="E76" s="1"/>
      <c r="F76" s="63"/>
      <c r="G76" s="63"/>
      <c r="H76" s="63"/>
      <c r="I76" s="63"/>
      <c r="J76" s="63"/>
      <c r="K76" s="63"/>
      <c r="L76" s="63"/>
      <c r="M76" s="63"/>
      <c r="N76" s="63"/>
    </row>
    <row r="79" spans="4:16" x14ac:dyDescent="0.35">
      <c r="F79" s="140"/>
      <c r="G79" s="140"/>
      <c r="J79" s="140"/>
      <c r="K79" s="140"/>
    </row>
    <row r="84" spans="5:11" x14ac:dyDescent="0.35">
      <c r="E84" s="72"/>
      <c r="F84" s="72"/>
      <c r="G84" s="72"/>
      <c r="H84" s="72"/>
      <c r="J84" s="140"/>
      <c r="K84" s="140"/>
    </row>
    <row r="85" spans="5:11" x14ac:dyDescent="0.35">
      <c r="E85" s="72"/>
      <c r="F85" s="72"/>
      <c r="G85" s="72"/>
      <c r="H85" s="72"/>
    </row>
    <row r="86" spans="5:11" x14ac:dyDescent="0.35">
      <c r="E86" s="72"/>
      <c r="F86" s="63"/>
      <c r="G86" s="63"/>
      <c r="H86" s="63"/>
    </row>
    <row r="87" spans="5:11" x14ac:dyDescent="0.35">
      <c r="E87" s="72"/>
      <c r="F87" s="63"/>
      <c r="G87" s="63"/>
      <c r="H87" s="63"/>
    </row>
    <row r="88" spans="5:11" x14ac:dyDescent="0.35">
      <c r="E88" s="72"/>
      <c r="F88" s="63"/>
      <c r="G88" s="63"/>
      <c r="H88" s="63"/>
    </row>
    <row r="89" spans="5:11" x14ac:dyDescent="0.35">
      <c r="E89" s="72"/>
      <c r="F89" s="63"/>
      <c r="G89" s="63"/>
      <c r="H89" s="63"/>
    </row>
    <row r="90" spans="5:11" x14ac:dyDescent="0.35">
      <c r="E90" s="72"/>
      <c r="F90" s="63"/>
      <c r="G90" s="63"/>
      <c r="H90" s="63"/>
    </row>
    <row r="91" spans="5:11" x14ac:dyDescent="0.35">
      <c r="E91" s="72"/>
      <c r="F91" s="63"/>
      <c r="G91" s="63"/>
      <c r="H91" s="63"/>
      <c r="J91" s="140"/>
      <c r="K91" s="140"/>
    </row>
    <row r="92" spans="5:11" x14ac:dyDescent="0.35">
      <c r="E92" s="72"/>
      <c r="F92" s="63"/>
      <c r="G92" s="63"/>
      <c r="H92" s="63"/>
    </row>
    <row r="93" spans="5:11" x14ac:dyDescent="0.35">
      <c r="E93" s="72"/>
      <c r="F93" s="63"/>
      <c r="G93" s="63"/>
      <c r="H93" s="63"/>
    </row>
  </sheetData>
  <mergeCells count="10">
    <mergeCell ref="F38:G38"/>
    <mergeCell ref="J38:K38"/>
    <mergeCell ref="N8:N18"/>
    <mergeCell ref="F79:G79"/>
    <mergeCell ref="J79:K79"/>
    <mergeCell ref="J84:K84"/>
    <mergeCell ref="J91:K91"/>
    <mergeCell ref="J58:K58"/>
    <mergeCell ref="J53:K53"/>
    <mergeCell ref="H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F164-1A30-41F9-8963-902B9951D606}">
  <dimension ref="C7:AI93"/>
  <sheetViews>
    <sheetView topLeftCell="A2" zoomScale="72" workbookViewId="0">
      <selection activeCell="E13" sqref="E13"/>
    </sheetView>
  </sheetViews>
  <sheetFormatPr defaultRowHeight="14.5" x14ac:dyDescent="0.35"/>
  <cols>
    <col min="3" max="3" width="23.36328125" bestFit="1" customWidth="1"/>
    <col min="4" max="4" width="11.36328125" bestFit="1" customWidth="1"/>
    <col min="5" max="5" width="13.453125" customWidth="1"/>
    <col min="6" max="6" width="12.1796875" customWidth="1"/>
    <col min="7" max="7" width="12.90625" customWidth="1"/>
    <col min="8" max="8" width="11.1796875" customWidth="1"/>
    <col min="9" max="9" width="13.453125" customWidth="1"/>
    <col min="10" max="10" width="13.54296875" customWidth="1"/>
    <col min="11" max="11" width="10.6328125" customWidth="1"/>
    <col min="12" max="12" width="12.1796875" customWidth="1"/>
    <col min="13" max="13" width="13.453125" customWidth="1"/>
    <col min="14" max="14" width="11.7265625" customWidth="1"/>
    <col min="15" max="15" width="14.81640625" customWidth="1"/>
    <col min="16" max="16" width="9.81640625" customWidth="1"/>
    <col min="17" max="17" width="13.81640625" customWidth="1"/>
    <col min="18" max="18" width="13.453125" customWidth="1"/>
    <col min="19" max="19" width="10.453125" customWidth="1"/>
    <col min="20" max="20" width="12" customWidth="1"/>
    <col min="21" max="21" width="12.1796875" customWidth="1"/>
    <col min="22" max="22" width="9.54296875" customWidth="1"/>
    <col min="23" max="23" width="11.453125" customWidth="1"/>
    <col min="24" max="24" width="11.1796875" customWidth="1"/>
    <col min="25" max="25" width="12.6328125" customWidth="1"/>
    <col min="26" max="26" width="11.1796875" customWidth="1"/>
    <col min="27" max="27" width="12.90625" customWidth="1"/>
    <col min="28" max="28" width="13" customWidth="1"/>
    <col min="29" max="29" width="16" customWidth="1"/>
    <col min="30" max="30" width="18.54296875" customWidth="1"/>
    <col min="31" max="31" width="11.7265625" customWidth="1"/>
    <col min="32" max="32" width="14.81640625" customWidth="1"/>
    <col min="33" max="33" width="12.453125" customWidth="1"/>
    <col min="34" max="34" width="13" customWidth="1"/>
    <col min="35" max="35" width="12" customWidth="1"/>
  </cols>
  <sheetData>
    <row r="7" spans="3:35" x14ac:dyDescent="0.35">
      <c r="F7" s="124">
        <v>2020</v>
      </c>
      <c r="G7" s="124">
        <v>2021</v>
      </c>
      <c r="H7" s="124">
        <v>2021</v>
      </c>
      <c r="I7" s="124">
        <v>2021</v>
      </c>
      <c r="J7" s="124">
        <v>2021</v>
      </c>
      <c r="K7" s="124">
        <v>2021</v>
      </c>
      <c r="L7" s="124">
        <v>2021</v>
      </c>
      <c r="M7" s="124">
        <v>2021</v>
      </c>
      <c r="N7" s="124">
        <v>2021</v>
      </c>
      <c r="O7" s="124">
        <v>2021</v>
      </c>
      <c r="P7" s="124">
        <v>2021</v>
      </c>
      <c r="Q7" s="124">
        <v>2021</v>
      </c>
      <c r="R7" s="124">
        <v>2021</v>
      </c>
      <c r="S7" s="124">
        <v>2022</v>
      </c>
      <c r="T7" s="124">
        <v>2022</v>
      </c>
      <c r="U7" s="124">
        <v>2022</v>
      </c>
      <c r="V7" s="124">
        <v>2022</v>
      </c>
      <c r="W7" s="124">
        <v>2022</v>
      </c>
      <c r="X7" s="124">
        <v>2022</v>
      </c>
      <c r="Y7" s="124">
        <v>2022</v>
      </c>
      <c r="Z7" s="124">
        <v>2022</v>
      </c>
      <c r="AA7" s="124">
        <v>2022</v>
      </c>
      <c r="AB7" s="124">
        <v>2022</v>
      </c>
      <c r="AC7" s="124">
        <v>2022</v>
      </c>
      <c r="AD7" s="124">
        <v>2022</v>
      </c>
      <c r="AE7" s="124">
        <v>2023</v>
      </c>
      <c r="AF7" s="124">
        <v>2023</v>
      </c>
      <c r="AG7" s="124">
        <v>2023</v>
      </c>
      <c r="AH7" s="124">
        <v>2023</v>
      </c>
      <c r="AI7" s="124">
        <v>2023</v>
      </c>
    </row>
    <row r="8" spans="3:35" x14ac:dyDescent="0.35">
      <c r="F8" s="124" t="s">
        <v>46</v>
      </c>
      <c r="G8" s="124" t="s">
        <v>31</v>
      </c>
      <c r="H8" s="124" t="s">
        <v>35</v>
      </c>
      <c r="I8" s="124" t="s">
        <v>36</v>
      </c>
      <c r="J8" s="124" t="s">
        <v>37</v>
      </c>
      <c r="K8" s="124" t="s">
        <v>38</v>
      </c>
      <c r="L8" s="124" t="s">
        <v>39</v>
      </c>
      <c r="M8" s="124" t="s">
        <v>40</v>
      </c>
      <c r="N8" s="124" t="s">
        <v>41</v>
      </c>
      <c r="O8" s="124" t="s">
        <v>42</v>
      </c>
      <c r="P8" s="124" t="s">
        <v>43</v>
      </c>
      <c r="Q8" s="124" t="s">
        <v>45</v>
      </c>
      <c r="R8" s="124" t="s">
        <v>46</v>
      </c>
      <c r="S8" s="124" t="s">
        <v>31</v>
      </c>
      <c r="T8" s="124" t="s">
        <v>35</v>
      </c>
      <c r="U8" s="124" t="s">
        <v>36</v>
      </c>
      <c r="V8" s="124" t="s">
        <v>37</v>
      </c>
      <c r="W8" s="124" t="s">
        <v>38</v>
      </c>
      <c r="X8" s="124" t="s">
        <v>39</v>
      </c>
      <c r="Y8" s="124" t="s">
        <v>40</v>
      </c>
      <c r="Z8" s="124" t="s">
        <v>41</v>
      </c>
      <c r="AA8" s="124" t="s">
        <v>42</v>
      </c>
      <c r="AB8" s="124" t="s">
        <v>43</v>
      </c>
      <c r="AC8" s="124" t="s">
        <v>45</v>
      </c>
      <c r="AD8" s="124" t="s">
        <v>46</v>
      </c>
      <c r="AE8" s="124" t="s">
        <v>31</v>
      </c>
      <c r="AF8" s="124" t="s">
        <v>35</v>
      </c>
      <c r="AG8" s="124" t="s">
        <v>36</v>
      </c>
      <c r="AH8" s="124" t="s">
        <v>37</v>
      </c>
      <c r="AI8" s="124" t="s">
        <v>38</v>
      </c>
    </row>
    <row r="9" spans="3:35" ht="15.5" x14ac:dyDescent="0.35">
      <c r="C9" s="162" t="s">
        <v>321</v>
      </c>
      <c r="D9" s="162"/>
      <c r="E9" s="163"/>
      <c r="F9" s="123">
        <v>49.839816952380943</v>
      </c>
      <c r="G9" s="123">
        <v>54.794569624999994</v>
      </c>
      <c r="H9" s="123">
        <v>61.216117289473672</v>
      </c>
      <c r="I9" s="123">
        <v>64.729496782608663</v>
      </c>
      <c r="J9" s="123">
        <v>63.396976500000008</v>
      </c>
      <c r="K9" s="123">
        <v>66.953084852941174</v>
      </c>
      <c r="L9" s="123">
        <v>71.982647477272721</v>
      </c>
      <c r="M9" s="123">
        <v>73.539060523809511</v>
      </c>
      <c r="N9" s="123">
        <v>69.804724424999989</v>
      </c>
      <c r="O9" s="123">
        <v>73.130738295454549</v>
      </c>
      <c r="P9" s="123">
        <v>82.107393785714294</v>
      </c>
      <c r="Q9" s="123">
        <v>80.637301023809528</v>
      </c>
      <c r="R9" s="123">
        <v>73.298823523809531</v>
      </c>
      <c r="S9" s="123">
        <v>84.666318799999985</v>
      </c>
      <c r="T9" s="123">
        <v>94.067715194444446</v>
      </c>
      <c r="U9" s="123">
        <v>112.87479254347826</v>
      </c>
      <c r="V9" s="123">
        <v>102.96599786842103</v>
      </c>
      <c r="W9" s="123">
        <v>109.50503773684208</v>
      </c>
      <c r="X9" s="123">
        <v>116.01138504999999</v>
      </c>
      <c r="Y9" s="123">
        <v>105.49124737500001</v>
      </c>
      <c r="Z9" s="123">
        <v>97.404465428571427</v>
      </c>
      <c r="AA9" s="123">
        <v>90.706344809523813</v>
      </c>
      <c r="AB9" s="123">
        <v>91.698948700000003</v>
      </c>
      <c r="AC9" s="123">
        <v>87.552266068181822</v>
      </c>
      <c r="AD9" s="123">
        <v>78.100942275000008</v>
      </c>
      <c r="AE9" s="123">
        <v>80.922269684210534</v>
      </c>
      <c r="AF9" s="123">
        <v>82.278706675000009</v>
      </c>
      <c r="AG9" s="123">
        <v>78.539480282608693</v>
      </c>
      <c r="AH9" s="123">
        <v>83.755358416666667</v>
      </c>
      <c r="AI9" s="123">
        <v>74.981547824999993</v>
      </c>
    </row>
    <row r="11" spans="3:35" x14ac:dyDescent="0.35">
      <c r="F11" s="47">
        <v>2020</v>
      </c>
      <c r="G11" s="47">
        <v>2021</v>
      </c>
      <c r="H11" s="47">
        <v>2021</v>
      </c>
      <c r="I11" s="47">
        <v>2021</v>
      </c>
      <c r="J11" s="47">
        <v>2021</v>
      </c>
      <c r="K11" s="47">
        <v>2021</v>
      </c>
      <c r="L11" s="47">
        <v>2021</v>
      </c>
      <c r="M11" s="47">
        <v>2021</v>
      </c>
      <c r="N11" s="47">
        <v>2021</v>
      </c>
      <c r="O11" s="47">
        <v>2021</v>
      </c>
      <c r="P11" s="47">
        <v>2021</v>
      </c>
      <c r="Q11" s="47">
        <v>2021</v>
      </c>
      <c r="R11" s="47">
        <v>2021</v>
      </c>
      <c r="S11" s="47">
        <v>2022</v>
      </c>
      <c r="T11" s="47">
        <v>2022</v>
      </c>
      <c r="U11" s="47">
        <v>2022</v>
      </c>
      <c r="V11" s="47">
        <v>2022</v>
      </c>
      <c r="W11" s="47">
        <v>2022</v>
      </c>
      <c r="X11" s="47">
        <v>2022</v>
      </c>
      <c r="Y11" s="47">
        <v>2022</v>
      </c>
      <c r="Z11" s="47">
        <v>2022</v>
      </c>
      <c r="AA11" s="47">
        <v>2022</v>
      </c>
      <c r="AB11" s="47">
        <v>2022</v>
      </c>
      <c r="AC11" s="47">
        <v>2022</v>
      </c>
      <c r="AD11" s="47">
        <v>2022</v>
      </c>
      <c r="AE11" s="47">
        <v>2023</v>
      </c>
      <c r="AF11" s="47">
        <v>2023</v>
      </c>
      <c r="AG11" s="47">
        <v>2023</v>
      </c>
      <c r="AH11" s="47">
        <v>2023</v>
      </c>
      <c r="AI11" s="47">
        <v>2023</v>
      </c>
    </row>
    <row r="12" spans="3:35" x14ac:dyDescent="0.35">
      <c r="C12" s="47" t="s">
        <v>58</v>
      </c>
      <c r="D12" s="47" t="s">
        <v>0</v>
      </c>
      <c r="E12" s="58" t="s">
        <v>314</v>
      </c>
      <c r="F12" s="47" t="s">
        <v>46</v>
      </c>
      <c r="G12" s="47" t="s">
        <v>31</v>
      </c>
      <c r="H12" s="47" t="s">
        <v>35</v>
      </c>
      <c r="I12" s="47" t="s">
        <v>36</v>
      </c>
      <c r="J12" s="47" t="s">
        <v>37</v>
      </c>
      <c r="K12" s="47" t="s">
        <v>38</v>
      </c>
      <c r="L12" s="47" t="s">
        <v>39</v>
      </c>
      <c r="M12" s="47" t="s">
        <v>40</v>
      </c>
      <c r="N12" s="47" t="s">
        <v>41</v>
      </c>
      <c r="O12" s="47" t="s">
        <v>42</v>
      </c>
      <c r="P12" s="47" t="s">
        <v>43</v>
      </c>
      <c r="Q12" s="47" t="s">
        <v>45</v>
      </c>
      <c r="R12" s="47" t="s">
        <v>46</v>
      </c>
      <c r="S12" s="47" t="s">
        <v>31</v>
      </c>
      <c r="T12" s="47" t="s">
        <v>35</v>
      </c>
      <c r="U12" s="47" t="s">
        <v>36</v>
      </c>
      <c r="V12" s="47" t="s">
        <v>37</v>
      </c>
      <c r="W12" s="47" t="s">
        <v>38</v>
      </c>
      <c r="X12" s="47" t="s">
        <v>39</v>
      </c>
      <c r="Y12" s="47" t="s">
        <v>40</v>
      </c>
      <c r="Z12" s="47" t="s">
        <v>41</v>
      </c>
      <c r="AA12" s="47" t="s">
        <v>42</v>
      </c>
      <c r="AB12" s="47" t="s">
        <v>43</v>
      </c>
      <c r="AC12" s="47" t="s">
        <v>45</v>
      </c>
      <c r="AD12" s="47" t="s">
        <v>46</v>
      </c>
      <c r="AE12" s="47" t="s">
        <v>31</v>
      </c>
      <c r="AF12" s="47" t="s">
        <v>35</v>
      </c>
      <c r="AG12" s="47" t="s">
        <v>36</v>
      </c>
      <c r="AH12" s="47" t="s">
        <v>37</v>
      </c>
      <c r="AI12" s="47" t="s">
        <v>38</v>
      </c>
    </row>
    <row r="13" spans="3:35" x14ac:dyDescent="0.35">
      <c r="C13" s="37" t="s">
        <v>59</v>
      </c>
      <c r="D13" s="37" t="s">
        <v>34</v>
      </c>
      <c r="E13" s="121">
        <f>CORREL(F13:AI13,$F$9:$AI$9)</f>
        <v>0.29591180174935611</v>
      </c>
      <c r="F13" s="37">
        <v>146</v>
      </c>
      <c r="G13" s="37">
        <v>144.9</v>
      </c>
      <c r="H13" s="37">
        <v>144.30000000000001</v>
      </c>
      <c r="I13" s="37">
        <v>144.1</v>
      </c>
      <c r="J13" s="37">
        <v>144.30000000000001</v>
      </c>
      <c r="K13" s="37">
        <v>146.30000000000001</v>
      </c>
      <c r="L13" s="37">
        <v>146.69999999999999</v>
      </c>
      <c r="M13" s="37">
        <v>146.4</v>
      </c>
      <c r="N13" s="37">
        <v>146.6</v>
      </c>
      <c r="O13" s="37">
        <v>146.6</v>
      </c>
      <c r="P13" s="37">
        <v>147.4</v>
      </c>
      <c r="Q13" s="37">
        <v>148.19999999999999</v>
      </c>
      <c r="R13" s="37">
        <v>148.69999999999999</v>
      </c>
      <c r="S13" s="37">
        <v>149.5</v>
      </c>
      <c r="T13" s="37">
        <v>150</v>
      </c>
      <c r="U13" s="37">
        <v>151.30000000000001</v>
      </c>
      <c r="V13" s="37">
        <v>152.9</v>
      </c>
      <c r="W13" s="37">
        <v>154.1</v>
      </c>
      <c r="X13" s="37">
        <v>155</v>
      </c>
      <c r="Y13" s="37">
        <v>156.5</v>
      </c>
      <c r="Z13" s="37">
        <v>160.30000000000001</v>
      </c>
      <c r="AA13" s="37">
        <v>163.5</v>
      </c>
      <c r="AB13" s="37">
        <v>165.2</v>
      </c>
      <c r="AC13" s="37">
        <v>167.4</v>
      </c>
      <c r="AD13" s="37">
        <v>169.2</v>
      </c>
      <c r="AE13" s="37">
        <v>173.8</v>
      </c>
      <c r="AF13" s="37">
        <v>174.4</v>
      </c>
      <c r="AG13" s="37">
        <v>174.4</v>
      </c>
      <c r="AH13" s="37">
        <v>173.8</v>
      </c>
      <c r="AI13" s="37">
        <v>173.7</v>
      </c>
    </row>
    <row r="14" spans="3:35" x14ac:dyDescent="0.35">
      <c r="C14" s="37" t="s">
        <v>59</v>
      </c>
      <c r="D14" s="37" t="s">
        <v>34</v>
      </c>
      <c r="E14" s="121">
        <f t="shared" ref="E13:E56" si="0">CORREL(F14:AI14,$F$9:$AI$9)</f>
        <v>0.79150366226053837</v>
      </c>
      <c r="F14" s="37">
        <v>191</v>
      </c>
      <c r="G14" s="37">
        <v>190.1</v>
      </c>
      <c r="H14" s="37">
        <v>186.5</v>
      </c>
      <c r="I14" s="37">
        <v>192.2</v>
      </c>
      <c r="J14" s="37">
        <v>198</v>
      </c>
      <c r="K14" s="37">
        <v>200.5</v>
      </c>
      <c r="L14" s="37">
        <v>202</v>
      </c>
      <c r="M14" s="37">
        <v>206.8</v>
      </c>
      <c r="N14" s="37">
        <v>204</v>
      </c>
      <c r="O14" s="37">
        <v>204</v>
      </c>
      <c r="P14" s="37">
        <v>204.6</v>
      </c>
      <c r="Q14" s="37">
        <v>201.6</v>
      </c>
      <c r="R14" s="37">
        <v>198.8</v>
      </c>
      <c r="S14" s="37">
        <v>198.7</v>
      </c>
      <c r="T14" s="37">
        <v>200.6</v>
      </c>
      <c r="U14" s="37">
        <v>210.7</v>
      </c>
      <c r="V14" s="37">
        <v>211.8</v>
      </c>
      <c r="W14" s="37">
        <v>217</v>
      </c>
      <c r="X14" s="37">
        <v>219.4</v>
      </c>
      <c r="Y14" s="37">
        <v>213</v>
      </c>
      <c r="Z14" s="37">
        <v>206.5</v>
      </c>
      <c r="AA14" s="37">
        <v>209.2</v>
      </c>
      <c r="AB14" s="37">
        <v>210.9</v>
      </c>
      <c r="AC14" s="37">
        <v>209.4</v>
      </c>
      <c r="AD14" s="37">
        <v>209</v>
      </c>
      <c r="AE14" s="37">
        <v>210.7</v>
      </c>
      <c r="AF14" s="37">
        <v>207.7</v>
      </c>
      <c r="AG14" s="37">
        <v>207.7</v>
      </c>
      <c r="AH14" s="37">
        <v>209.3</v>
      </c>
      <c r="AI14" s="37">
        <v>214.3</v>
      </c>
    </row>
    <row r="15" spans="3:35" x14ac:dyDescent="0.35">
      <c r="C15" s="37" t="s">
        <v>59</v>
      </c>
      <c r="D15" s="37" t="s">
        <v>34</v>
      </c>
      <c r="E15" s="121">
        <f t="shared" si="0"/>
        <v>-0.18814989994888345</v>
      </c>
      <c r="F15" s="37">
        <v>175.3</v>
      </c>
      <c r="G15" s="37">
        <v>175.3</v>
      </c>
      <c r="H15" s="37">
        <v>168.7</v>
      </c>
      <c r="I15" s="37">
        <v>163.80000000000001</v>
      </c>
      <c r="J15" s="37">
        <v>164.6</v>
      </c>
      <c r="K15" s="37">
        <v>170.3</v>
      </c>
      <c r="L15" s="37">
        <v>180.7</v>
      </c>
      <c r="M15" s="37">
        <v>182.2</v>
      </c>
      <c r="N15" s="37">
        <v>172.8</v>
      </c>
      <c r="O15" s="37">
        <v>172.8</v>
      </c>
      <c r="P15" s="37">
        <v>171.2</v>
      </c>
      <c r="Q15" s="37">
        <v>173</v>
      </c>
      <c r="R15" s="37">
        <v>177.9</v>
      </c>
      <c r="S15" s="37">
        <v>178.8</v>
      </c>
      <c r="T15" s="37">
        <v>175.8</v>
      </c>
      <c r="U15" s="37">
        <v>167.8</v>
      </c>
      <c r="V15" s="37">
        <v>164.5</v>
      </c>
      <c r="W15" s="37">
        <v>162.4</v>
      </c>
      <c r="X15" s="37">
        <v>170.8</v>
      </c>
      <c r="Y15" s="37">
        <v>175.2</v>
      </c>
      <c r="Z15" s="37">
        <v>169.2</v>
      </c>
      <c r="AA15" s="37">
        <v>169.7</v>
      </c>
      <c r="AB15" s="37">
        <v>170.9</v>
      </c>
      <c r="AC15" s="37">
        <v>181.4</v>
      </c>
      <c r="AD15" s="37">
        <v>190.2</v>
      </c>
      <c r="AE15" s="37">
        <v>194.5</v>
      </c>
      <c r="AF15" s="37">
        <v>175.2</v>
      </c>
      <c r="AG15" s="37">
        <v>175.2</v>
      </c>
      <c r="AH15" s="37">
        <v>169.6</v>
      </c>
      <c r="AI15" s="37">
        <v>173.2</v>
      </c>
    </row>
    <row r="16" spans="3:35" x14ac:dyDescent="0.35">
      <c r="C16" s="37" t="s">
        <v>59</v>
      </c>
      <c r="D16" s="37" t="s">
        <v>34</v>
      </c>
      <c r="E16" s="121">
        <f t="shared" si="0"/>
        <v>0.40409124497746113</v>
      </c>
      <c r="F16" s="37">
        <v>154.1</v>
      </c>
      <c r="G16" s="37">
        <v>154.1</v>
      </c>
      <c r="H16" s="37">
        <v>154.69999999999999</v>
      </c>
      <c r="I16" s="37">
        <v>154.9</v>
      </c>
      <c r="J16" s="37">
        <v>155.4</v>
      </c>
      <c r="K16" s="37">
        <v>156.1</v>
      </c>
      <c r="L16" s="37">
        <v>156.19999999999999</v>
      </c>
      <c r="M16" s="37">
        <v>157.5</v>
      </c>
      <c r="N16" s="37">
        <v>158.4</v>
      </c>
      <c r="O16" s="37">
        <v>158.4</v>
      </c>
      <c r="P16" s="37">
        <v>158.69999999999999</v>
      </c>
      <c r="Q16" s="37">
        <v>159.30000000000001</v>
      </c>
      <c r="R16" s="37">
        <v>159.9</v>
      </c>
      <c r="S16" s="37">
        <v>160.5</v>
      </c>
      <c r="T16" s="37">
        <v>160.69999999999999</v>
      </c>
      <c r="U16" s="37">
        <v>162.19999999999999</v>
      </c>
      <c r="V16" s="37">
        <v>163.9</v>
      </c>
      <c r="W16" s="37">
        <v>164.9</v>
      </c>
      <c r="X16" s="37">
        <v>165.8</v>
      </c>
      <c r="Y16" s="37">
        <v>166.6</v>
      </c>
      <c r="Z16" s="37">
        <v>168.1</v>
      </c>
      <c r="AA16" s="37">
        <v>169.7</v>
      </c>
      <c r="AB16" s="37">
        <v>170.9</v>
      </c>
      <c r="AC16" s="37">
        <v>172.3</v>
      </c>
      <c r="AD16" s="37">
        <v>173.6</v>
      </c>
      <c r="AE16" s="37">
        <v>174.6</v>
      </c>
      <c r="AF16" s="37">
        <v>177.3</v>
      </c>
      <c r="AG16" s="37">
        <v>177.3</v>
      </c>
      <c r="AH16" s="37">
        <v>178.4</v>
      </c>
      <c r="AI16" s="37">
        <v>179.5</v>
      </c>
    </row>
    <row r="17" spans="3:35" x14ac:dyDescent="0.35">
      <c r="C17" s="37" t="s">
        <v>59</v>
      </c>
      <c r="D17" s="37" t="s">
        <v>34</v>
      </c>
      <c r="E17" s="121">
        <f>CORREL(F17:AI17,$F$9:$AI$9)</f>
        <v>0.83485090520968031</v>
      </c>
      <c r="F17" s="37">
        <v>146.6</v>
      </c>
      <c r="G17" s="37">
        <v>150.9</v>
      </c>
      <c r="H17" s="37">
        <v>158.69999999999999</v>
      </c>
      <c r="I17" s="37">
        <v>163.9</v>
      </c>
      <c r="J17" s="37">
        <v>170.1</v>
      </c>
      <c r="K17" s="37">
        <v>178.7</v>
      </c>
      <c r="L17" s="37">
        <v>183.7</v>
      </c>
      <c r="M17" s="37">
        <v>182.1</v>
      </c>
      <c r="N17" s="37">
        <v>188</v>
      </c>
      <c r="O17" s="37">
        <v>188</v>
      </c>
      <c r="P17" s="37">
        <v>190.6</v>
      </c>
      <c r="Q17" s="37">
        <v>190.1</v>
      </c>
      <c r="R17" s="37">
        <v>187.6</v>
      </c>
      <c r="S17" s="37">
        <v>184.7</v>
      </c>
      <c r="T17" s="37">
        <v>184.9</v>
      </c>
      <c r="U17" s="37">
        <v>194.6</v>
      </c>
      <c r="V17" s="37">
        <v>199.5</v>
      </c>
      <c r="W17" s="37">
        <v>202.4</v>
      </c>
      <c r="X17" s="37">
        <v>200.9</v>
      </c>
      <c r="Y17" s="37">
        <v>195.8</v>
      </c>
      <c r="Z17" s="37">
        <v>192.4</v>
      </c>
      <c r="AA17" s="37">
        <v>188.7</v>
      </c>
      <c r="AB17" s="37">
        <v>186.5</v>
      </c>
      <c r="AC17" s="37">
        <v>188.9</v>
      </c>
      <c r="AD17" s="37">
        <v>188.5</v>
      </c>
      <c r="AE17" s="37">
        <v>187.2</v>
      </c>
      <c r="AF17" s="37">
        <v>179.3</v>
      </c>
      <c r="AG17" s="37">
        <v>179.2</v>
      </c>
      <c r="AH17" s="37">
        <v>174.9</v>
      </c>
      <c r="AI17" s="37">
        <v>170</v>
      </c>
    </row>
    <row r="18" spans="3:35" x14ac:dyDescent="0.35">
      <c r="C18" s="37" t="s">
        <v>59</v>
      </c>
      <c r="D18" s="37" t="s">
        <v>34</v>
      </c>
      <c r="E18" s="121">
        <f t="shared" si="0"/>
        <v>0.53593556290244593</v>
      </c>
      <c r="F18" s="37">
        <v>147.69999999999999</v>
      </c>
      <c r="G18" s="37">
        <v>149.6</v>
      </c>
      <c r="H18" s="37">
        <v>150.69999999999999</v>
      </c>
      <c r="I18" s="37">
        <v>153.69999999999999</v>
      </c>
      <c r="J18" s="37">
        <v>164.4</v>
      </c>
      <c r="K18" s="37">
        <v>167.1</v>
      </c>
      <c r="L18" s="37">
        <v>164.6</v>
      </c>
      <c r="M18" s="37">
        <v>163.9</v>
      </c>
      <c r="N18" s="37">
        <v>156.80000000000001</v>
      </c>
      <c r="O18" s="37">
        <v>156.69999999999999</v>
      </c>
      <c r="P18" s="37">
        <v>155.69999999999999</v>
      </c>
      <c r="Q18" s="37">
        <v>156.5</v>
      </c>
      <c r="R18" s="37">
        <v>154.9</v>
      </c>
      <c r="S18" s="37">
        <v>153.69999999999999</v>
      </c>
      <c r="T18" s="37">
        <v>153.69999999999999</v>
      </c>
      <c r="U18" s="37">
        <v>157.6</v>
      </c>
      <c r="V18" s="37">
        <v>172.6</v>
      </c>
      <c r="W18" s="37">
        <v>171</v>
      </c>
      <c r="X18" s="37">
        <v>169.7</v>
      </c>
      <c r="Y18" s="37">
        <v>174.2</v>
      </c>
      <c r="Z18" s="37">
        <v>172.9</v>
      </c>
      <c r="AA18" s="37">
        <v>165.7</v>
      </c>
      <c r="AB18" s="37">
        <v>163.80000000000001</v>
      </c>
      <c r="AC18" s="37">
        <v>160.69999999999999</v>
      </c>
      <c r="AD18" s="37">
        <v>158</v>
      </c>
      <c r="AE18" s="37">
        <v>158.30000000000001</v>
      </c>
      <c r="AF18" s="37">
        <v>169.5</v>
      </c>
      <c r="AG18" s="37">
        <v>169.5</v>
      </c>
      <c r="AH18" s="37">
        <v>176.3</v>
      </c>
      <c r="AI18" s="37">
        <v>172.2</v>
      </c>
    </row>
    <row r="19" spans="3:35" x14ac:dyDescent="0.35">
      <c r="C19" s="37" t="s">
        <v>59</v>
      </c>
      <c r="D19" s="37" t="s">
        <v>34</v>
      </c>
      <c r="E19" s="121">
        <f t="shared" si="0"/>
        <v>5.993332868393552E-2</v>
      </c>
      <c r="F19" s="37">
        <v>230.5</v>
      </c>
      <c r="G19" s="37">
        <v>194.2</v>
      </c>
      <c r="H19" s="37">
        <v>160</v>
      </c>
      <c r="I19" s="37">
        <v>149.5</v>
      </c>
      <c r="J19" s="37">
        <v>144.1</v>
      </c>
      <c r="K19" s="37">
        <v>147.9</v>
      </c>
      <c r="L19" s="37">
        <v>155.4</v>
      </c>
      <c r="M19" s="37">
        <v>164.2</v>
      </c>
      <c r="N19" s="37">
        <v>162.19999999999999</v>
      </c>
      <c r="O19" s="37">
        <v>162.30000000000001</v>
      </c>
      <c r="P19" s="37">
        <v>185.3</v>
      </c>
      <c r="Q19" s="37">
        <v>199.2</v>
      </c>
      <c r="R19" s="37">
        <v>188.3</v>
      </c>
      <c r="S19" s="37">
        <v>174.3</v>
      </c>
      <c r="T19" s="37">
        <v>169.7</v>
      </c>
      <c r="U19" s="37">
        <v>166.9</v>
      </c>
      <c r="V19" s="37">
        <v>166.2</v>
      </c>
      <c r="W19" s="37">
        <v>174.9</v>
      </c>
      <c r="X19" s="37">
        <v>182.3</v>
      </c>
      <c r="Y19" s="37">
        <v>182.1</v>
      </c>
      <c r="Z19" s="37">
        <v>186.7</v>
      </c>
      <c r="AA19" s="37">
        <v>191.8</v>
      </c>
      <c r="AB19" s="37">
        <v>199.7</v>
      </c>
      <c r="AC19" s="37">
        <v>183.1</v>
      </c>
      <c r="AD19" s="37">
        <v>159.9</v>
      </c>
      <c r="AE19" s="37">
        <v>153.9</v>
      </c>
      <c r="AF19" s="37">
        <v>152.69999999999999</v>
      </c>
      <c r="AG19" s="37">
        <v>152.80000000000001</v>
      </c>
      <c r="AH19" s="37">
        <v>155.4</v>
      </c>
      <c r="AI19" s="37">
        <v>161</v>
      </c>
    </row>
    <row r="20" spans="3:35" x14ac:dyDescent="0.35">
      <c r="C20" s="37" t="s">
        <v>59</v>
      </c>
      <c r="D20" s="37" t="s">
        <v>34</v>
      </c>
      <c r="E20" s="121">
        <f t="shared" si="0"/>
        <v>0.25289481027832822</v>
      </c>
      <c r="F20" s="37">
        <v>160.19999999999999</v>
      </c>
      <c r="G20" s="37">
        <v>160.4</v>
      </c>
      <c r="H20" s="37">
        <v>158.80000000000001</v>
      </c>
      <c r="I20" s="37">
        <v>159.80000000000001</v>
      </c>
      <c r="J20" s="37">
        <v>161.69999999999999</v>
      </c>
      <c r="K20" s="37">
        <v>165.4</v>
      </c>
      <c r="L20" s="37">
        <v>166</v>
      </c>
      <c r="M20" s="37">
        <v>164</v>
      </c>
      <c r="N20" s="37">
        <v>164.1</v>
      </c>
      <c r="O20" s="37">
        <v>164.1</v>
      </c>
      <c r="P20" s="37">
        <v>165.2</v>
      </c>
      <c r="Q20" s="37">
        <v>165.3</v>
      </c>
      <c r="R20" s="37">
        <v>164.4</v>
      </c>
      <c r="S20" s="37">
        <v>163.9</v>
      </c>
      <c r="T20" s="37">
        <v>163.69999999999999</v>
      </c>
      <c r="U20" s="37">
        <v>163.9</v>
      </c>
      <c r="V20" s="37">
        <v>164.7</v>
      </c>
      <c r="W20" s="37">
        <v>164.7</v>
      </c>
      <c r="X20" s="37">
        <v>164.3</v>
      </c>
      <c r="Y20" s="37">
        <v>164.3</v>
      </c>
      <c r="Z20" s="37">
        <v>167.2</v>
      </c>
      <c r="AA20" s="37">
        <v>169.1</v>
      </c>
      <c r="AB20" s="37">
        <v>169.8</v>
      </c>
      <c r="AC20" s="37">
        <v>170.5</v>
      </c>
      <c r="AD20" s="37">
        <v>170.8</v>
      </c>
      <c r="AE20" s="37">
        <v>170.9</v>
      </c>
      <c r="AF20" s="37">
        <v>171</v>
      </c>
      <c r="AG20" s="37">
        <v>171.1</v>
      </c>
      <c r="AH20" s="37">
        <v>173.4</v>
      </c>
      <c r="AI20" s="37">
        <v>175.6</v>
      </c>
    </row>
    <row r="21" spans="3:35" x14ac:dyDescent="0.35">
      <c r="C21" s="37" t="s">
        <v>59</v>
      </c>
      <c r="D21" s="37" t="s">
        <v>34</v>
      </c>
      <c r="E21" s="121">
        <f t="shared" si="0"/>
        <v>0.5349225842199784</v>
      </c>
      <c r="F21" s="37">
        <v>115.3</v>
      </c>
      <c r="G21" s="37">
        <v>114.6</v>
      </c>
      <c r="H21" s="37">
        <v>112.8</v>
      </c>
      <c r="I21" s="37">
        <v>112.6</v>
      </c>
      <c r="J21" s="37">
        <v>113.1</v>
      </c>
      <c r="K21" s="37">
        <v>114.8</v>
      </c>
      <c r="L21" s="37">
        <v>115.1</v>
      </c>
      <c r="M21" s="37">
        <v>114.5</v>
      </c>
      <c r="N21" s="37">
        <v>119.7</v>
      </c>
      <c r="O21" s="37">
        <v>119.7</v>
      </c>
      <c r="P21" s="37">
        <v>121.9</v>
      </c>
      <c r="Q21" s="37">
        <v>122.4</v>
      </c>
      <c r="R21" s="37">
        <v>121</v>
      </c>
      <c r="S21" s="37">
        <v>120</v>
      </c>
      <c r="T21" s="37">
        <v>118.9</v>
      </c>
      <c r="U21" s="37">
        <v>118.8</v>
      </c>
      <c r="V21" s="37">
        <v>119</v>
      </c>
      <c r="W21" s="37">
        <v>119.7</v>
      </c>
      <c r="X21" s="37">
        <v>119.9</v>
      </c>
      <c r="Y21" s="37">
        <v>120</v>
      </c>
      <c r="Z21" s="37">
        <v>120.9</v>
      </c>
      <c r="AA21" s="37">
        <v>121.6</v>
      </c>
      <c r="AB21" s="37">
        <v>121.9</v>
      </c>
      <c r="AC21" s="37">
        <v>122.1</v>
      </c>
      <c r="AD21" s="37">
        <v>121.8</v>
      </c>
      <c r="AE21" s="37">
        <v>121.1</v>
      </c>
      <c r="AF21" s="37">
        <v>120</v>
      </c>
      <c r="AG21" s="37">
        <v>120</v>
      </c>
      <c r="AH21" s="37">
        <v>121.3</v>
      </c>
      <c r="AI21" s="37">
        <v>122.7</v>
      </c>
    </row>
    <row r="22" spans="3:35" x14ac:dyDescent="0.35">
      <c r="C22" s="37" t="s">
        <v>59</v>
      </c>
      <c r="D22" s="37" t="s">
        <v>34</v>
      </c>
      <c r="E22" s="121">
        <f t="shared" si="0"/>
        <v>0.3834553929730049</v>
      </c>
      <c r="F22" s="37">
        <v>163</v>
      </c>
      <c r="G22" s="37">
        <v>164</v>
      </c>
      <c r="H22" s="37">
        <v>164.2</v>
      </c>
      <c r="I22" s="37">
        <v>163.5</v>
      </c>
      <c r="J22" s="37">
        <v>163.9</v>
      </c>
      <c r="K22" s="37">
        <v>168.2</v>
      </c>
      <c r="L22" s="37">
        <v>168.5</v>
      </c>
      <c r="M22" s="37">
        <v>168.3</v>
      </c>
      <c r="N22" s="37">
        <v>168.8</v>
      </c>
      <c r="O22" s="37">
        <v>168.8</v>
      </c>
      <c r="P22" s="37">
        <v>169.3</v>
      </c>
      <c r="Q22" s="37">
        <v>169.6</v>
      </c>
      <c r="R22" s="37">
        <v>170.5</v>
      </c>
      <c r="S22" s="37">
        <v>172.1</v>
      </c>
      <c r="T22" s="37">
        <v>174.3</v>
      </c>
      <c r="U22" s="37">
        <v>177.4</v>
      </c>
      <c r="V22" s="37">
        <v>181.3</v>
      </c>
      <c r="W22" s="37">
        <v>184.9</v>
      </c>
      <c r="X22" s="37">
        <v>187.1</v>
      </c>
      <c r="Y22" s="37">
        <v>190</v>
      </c>
      <c r="Z22" s="37">
        <v>193.6</v>
      </c>
      <c r="AA22" s="37">
        <v>197.3</v>
      </c>
      <c r="AB22" s="37">
        <v>199.9</v>
      </c>
      <c r="AC22" s="37">
        <v>202.8</v>
      </c>
      <c r="AD22" s="37">
        <v>205.2</v>
      </c>
      <c r="AE22" s="37">
        <v>208.4</v>
      </c>
      <c r="AF22" s="37">
        <v>209.7</v>
      </c>
      <c r="AG22" s="37">
        <v>209.7</v>
      </c>
      <c r="AH22" s="37">
        <v>212.9</v>
      </c>
      <c r="AI22" s="37">
        <v>218</v>
      </c>
    </row>
    <row r="23" spans="3:35" x14ac:dyDescent="0.35">
      <c r="C23" s="37" t="s">
        <v>59</v>
      </c>
      <c r="D23" s="37" t="s">
        <v>34</v>
      </c>
      <c r="E23" s="121">
        <f t="shared" si="0"/>
        <v>0.62603198109375335</v>
      </c>
      <c r="F23" s="37">
        <v>149.19999999999999</v>
      </c>
      <c r="G23" s="37">
        <v>151.80000000000001</v>
      </c>
      <c r="H23" s="37">
        <v>155.5</v>
      </c>
      <c r="I23" s="37">
        <v>156.5</v>
      </c>
      <c r="J23" s="37">
        <v>157.6</v>
      </c>
      <c r="K23" s="37">
        <v>159.30000000000001</v>
      </c>
      <c r="L23" s="37">
        <v>160</v>
      </c>
      <c r="M23" s="37">
        <v>160.9</v>
      </c>
      <c r="N23" s="37">
        <v>162.69999999999999</v>
      </c>
      <c r="O23" s="37">
        <v>162.69999999999999</v>
      </c>
      <c r="P23" s="37">
        <v>163.19999999999999</v>
      </c>
      <c r="Q23" s="37">
        <v>163.69999999999999</v>
      </c>
      <c r="R23" s="37">
        <v>164.2</v>
      </c>
      <c r="S23" s="37">
        <v>164.3</v>
      </c>
      <c r="T23" s="37">
        <v>164.7</v>
      </c>
      <c r="U23" s="37">
        <v>165.3</v>
      </c>
      <c r="V23" s="37">
        <v>166.2</v>
      </c>
      <c r="W23" s="37">
        <v>167.1</v>
      </c>
      <c r="X23" s="37">
        <v>167.9</v>
      </c>
      <c r="Y23" s="37">
        <v>168.4</v>
      </c>
      <c r="Z23" s="37">
        <v>168.8</v>
      </c>
      <c r="AA23" s="37">
        <v>169.4</v>
      </c>
      <c r="AB23" s="37">
        <v>169.9</v>
      </c>
      <c r="AC23" s="37">
        <v>170.4</v>
      </c>
      <c r="AD23" s="37">
        <v>171</v>
      </c>
      <c r="AE23" s="37">
        <v>171.4</v>
      </c>
      <c r="AF23" s="37">
        <v>172.3</v>
      </c>
      <c r="AG23" s="37">
        <v>172.3</v>
      </c>
      <c r="AH23" s="37">
        <v>172.9</v>
      </c>
      <c r="AI23" s="37">
        <v>173.4</v>
      </c>
    </row>
    <row r="24" spans="3:35" x14ac:dyDescent="0.35">
      <c r="C24" s="37" t="s">
        <v>59</v>
      </c>
      <c r="D24" s="37" t="s">
        <v>34</v>
      </c>
      <c r="E24" s="121">
        <f t="shared" si="0"/>
        <v>0.54065923648377179</v>
      </c>
      <c r="F24" s="37">
        <v>164.8</v>
      </c>
      <c r="G24" s="37">
        <v>165.6</v>
      </c>
      <c r="H24" s="37">
        <v>167.5</v>
      </c>
      <c r="I24" s="37">
        <v>168.2</v>
      </c>
      <c r="J24" s="37">
        <v>168.9</v>
      </c>
      <c r="K24" s="37">
        <v>170.4</v>
      </c>
      <c r="L24" s="37">
        <v>172.4</v>
      </c>
      <c r="M24" s="37">
        <v>172.2</v>
      </c>
      <c r="N24" s="37">
        <v>173.9</v>
      </c>
      <c r="O24" s="37">
        <v>173.9</v>
      </c>
      <c r="P24" s="37">
        <v>174.7</v>
      </c>
      <c r="Q24" s="37">
        <v>175.5</v>
      </c>
      <c r="R24" s="37">
        <v>176.5</v>
      </c>
      <c r="S24" s="37">
        <v>177.3</v>
      </c>
      <c r="T24" s="37">
        <v>178</v>
      </c>
      <c r="U24" s="37">
        <v>179.3</v>
      </c>
      <c r="V24" s="37">
        <v>180.9</v>
      </c>
      <c r="W24" s="37">
        <v>182.5</v>
      </c>
      <c r="X24" s="37">
        <v>183.9</v>
      </c>
      <c r="Y24" s="37">
        <v>185.2</v>
      </c>
      <c r="Z24" s="37">
        <v>186.3</v>
      </c>
      <c r="AA24" s="37">
        <v>187.4</v>
      </c>
      <c r="AB24" s="37">
        <v>188.3</v>
      </c>
      <c r="AC24" s="37">
        <v>189.5</v>
      </c>
      <c r="AD24" s="37">
        <v>190.3</v>
      </c>
      <c r="AE24" s="37">
        <v>191.2</v>
      </c>
      <c r="AF24" s="37">
        <v>193</v>
      </c>
      <c r="AG24" s="37">
        <v>193</v>
      </c>
      <c r="AH24" s="37">
        <v>193.5</v>
      </c>
      <c r="AI24" s="37">
        <v>194.2</v>
      </c>
    </row>
    <row r="25" spans="3:35" x14ac:dyDescent="0.35">
      <c r="C25" s="37" t="s">
        <v>59</v>
      </c>
      <c r="D25" s="37" t="s">
        <v>34</v>
      </c>
      <c r="E25" s="121">
        <f t="shared" si="0"/>
        <v>0.573394978518732</v>
      </c>
      <c r="F25" s="37">
        <v>165.4</v>
      </c>
      <c r="G25" s="37">
        <v>161</v>
      </c>
      <c r="H25" s="37">
        <v>156.9</v>
      </c>
      <c r="I25" s="37">
        <v>156.69999999999999</v>
      </c>
      <c r="J25" s="37">
        <v>158</v>
      </c>
      <c r="K25" s="37">
        <v>160.69999999999999</v>
      </c>
      <c r="L25" s="37">
        <v>162.6</v>
      </c>
      <c r="M25" s="37">
        <v>164</v>
      </c>
      <c r="N25" s="37">
        <v>164</v>
      </c>
      <c r="O25" s="37">
        <v>164</v>
      </c>
      <c r="P25" s="37">
        <v>167.7</v>
      </c>
      <c r="Q25" s="37">
        <v>169.7</v>
      </c>
      <c r="R25" s="37">
        <v>168.2</v>
      </c>
      <c r="S25" s="37">
        <v>166.4</v>
      </c>
      <c r="T25" s="37">
        <v>166.2</v>
      </c>
      <c r="U25" s="37">
        <v>168.4</v>
      </c>
      <c r="V25" s="37">
        <v>170.8</v>
      </c>
      <c r="W25" s="37">
        <v>173.3</v>
      </c>
      <c r="X25" s="37">
        <v>174.9</v>
      </c>
      <c r="Y25" s="37">
        <v>175</v>
      </c>
      <c r="Z25" s="37">
        <v>176.3</v>
      </c>
      <c r="AA25" s="37">
        <v>177.8</v>
      </c>
      <c r="AB25" s="37">
        <v>179.6</v>
      </c>
      <c r="AC25" s="37">
        <v>178.3</v>
      </c>
      <c r="AD25" s="37">
        <v>175.9</v>
      </c>
      <c r="AE25" s="37">
        <v>176.7</v>
      </c>
      <c r="AF25" s="37">
        <v>177</v>
      </c>
      <c r="AG25" s="37">
        <v>177</v>
      </c>
      <c r="AH25" s="37">
        <v>177.9</v>
      </c>
      <c r="AI25" s="37">
        <v>179.1</v>
      </c>
    </row>
    <row r="26" spans="3:35" x14ac:dyDescent="0.35">
      <c r="C26" s="37" t="s">
        <v>60</v>
      </c>
      <c r="D26" s="37" t="s">
        <v>34</v>
      </c>
      <c r="E26" s="121">
        <f t="shared" si="0"/>
        <v>0.48371567688568756</v>
      </c>
      <c r="F26" s="37">
        <v>185.4</v>
      </c>
      <c r="G26" s="37">
        <v>186.5</v>
      </c>
      <c r="H26" s="37">
        <v>188.3</v>
      </c>
      <c r="I26" s="37">
        <v>188.1</v>
      </c>
      <c r="J26" s="37">
        <v>188.8</v>
      </c>
      <c r="K26" s="37">
        <v>191.9</v>
      </c>
      <c r="L26" s="37">
        <v>190.8</v>
      </c>
      <c r="M26" s="37">
        <v>191.2</v>
      </c>
      <c r="N26" s="37">
        <v>192.1</v>
      </c>
      <c r="O26" s="37">
        <v>192.1</v>
      </c>
      <c r="P26" s="37">
        <v>192.7</v>
      </c>
      <c r="Q26" s="37">
        <v>192.9</v>
      </c>
      <c r="R26" s="37">
        <v>192.4</v>
      </c>
      <c r="S26" s="37">
        <v>192.2</v>
      </c>
      <c r="T26" s="37">
        <v>192.8</v>
      </c>
      <c r="U26" s="37">
        <v>193.7</v>
      </c>
      <c r="V26" s="37">
        <v>193.9</v>
      </c>
      <c r="W26" s="37">
        <v>194.1</v>
      </c>
      <c r="X26" s="37">
        <v>194.3</v>
      </c>
      <c r="Y26" s="37">
        <v>194.6</v>
      </c>
      <c r="Z26" s="37">
        <v>195</v>
      </c>
      <c r="AA26" s="37">
        <v>195.9</v>
      </c>
      <c r="AB26" s="37">
        <v>196.3</v>
      </c>
      <c r="AC26" s="37">
        <v>196.9</v>
      </c>
      <c r="AD26" s="37">
        <v>197.3</v>
      </c>
      <c r="AE26" s="37">
        <v>198.2</v>
      </c>
      <c r="AF26" s="37">
        <v>199.5</v>
      </c>
      <c r="AG26" s="37">
        <v>199.5</v>
      </c>
      <c r="AH26" s="37">
        <v>200.6</v>
      </c>
      <c r="AI26" s="37">
        <v>201</v>
      </c>
    </row>
    <row r="27" spans="3:35" x14ac:dyDescent="0.35">
      <c r="C27" s="37" t="s">
        <v>61</v>
      </c>
      <c r="D27" s="37" t="s">
        <v>34</v>
      </c>
      <c r="E27" s="121">
        <f t="shared" si="0"/>
        <v>0.571515078418523</v>
      </c>
      <c r="F27" s="37">
        <v>155</v>
      </c>
      <c r="G27" s="37">
        <v>155.5</v>
      </c>
      <c r="H27" s="37">
        <v>157.19999999999999</v>
      </c>
      <c r="I27" s="37">
        <v>157.80000000000001</v>
      </c>
      <c r="J27" s="37">
        <v>158.80000000000001</v>
      </c>
      <c r="K27" s="37">
        <v>161.80000000000001</v>
      </c>
      <c r="L27" s="37">
        <v>162.19999999999999</v>
      </c>
      <c r="M27" s="37">
        <v>162.80000000000001</v>
      </c>
      <c r="N27" s="37">
        <v>164.5</v>
      </c>
      <c r="O27" s="37">
        <v>164.6</v>
      </c>
      <c r="P27" s="37">
        <v>165.7</v>
      </c>
      <c r="Q27" s="37">
        <v>167.2</v>
      </c>
      <c r="R27" s="37">
        <v>168.5</v>
      </c>
      <c r="S27" s="37">
        <v>169.9</v>
      </c>
      <c r="T27" s="37">
        <v>170.8</v>
      </c>
      <c r="U27" s="37">
        <v>172.1</v>
      </c>
      <c r="V27" s="37">
        <v>173.9</v>
      </c>
      <c r="W27" s="37">
        <v>175.6</v>
      </c>
      <c r="X27" s="37">
        <v>177.1</v>
      </c>
      <c r="Y27" s="37">
        <v>178.3</v>
      </c>
      <c r="Z27" s="37">
        <v>179.5</v>
      </c>
      <c r="AA27" s="37">
        <v>180.9</v>
      </c>
      <c r="AB27" s="37">
        <v>181.9</v>
      </c>
      <c r="AC27" s="37">
        <v>183.1</v>
      </c>
      <c r="AD27" s="37">
        <v>184</v>
      </c>
      <c r="AE27" s="37">
        <v>184.9</v>
      </c>
      <c r="AF27" s="37">
        <v>186.2</v>
      </c>
      <c r="AG27" s="37">
        <v>186.1</v>
      </c>
      <c r="AH27" s="37">
        <v>186.9</v>
      </c>
      <c r="AI27" s="37">
        <v>187.3</v>
      </c>
    </row>
    <row r="28" spans="3:35" x14ac:dyDescent="0.35">
      <c r="C28" s="37" t="s">
        <v>61</v>
      </c>
      <c r="D28" s="37" t="s">
        <v>34</v>
      </c>
      <c r="E28" s="121">
        <f t="shared" si="0"/>
        <v>0.59391771562379392</v>
      </c>
      <c r="F28" s="37">
        <v>145.4</v>
      </c>
      <c r="G28" s="37">
        <v>146.1</v>
      </c>
      <c r="H28" s="37">
        <v>147.4</v>
      </c>
      <c r="I28" s="37">
        <v>147.9</v>
      </c>
      <c r="J28" s="37">
        <v>148.5</v>
      </c>
      <c r="K28" s="37">
        <v>152.1</v>
      </c>
      <c r="L28" s="37">
        <v>151.80000000000001</v>
      </c>
      <c r="M28" s="37">
        <v>153.1</v>
      </c>
      <c r="N28" s="37">
        <v>155.30000000000001</v>
      </c>
      <c r="O28" s="37">
        <v>155.30000000000001</v>
      </c>
      <c r="P28" s="37">
        <v>156.30000000000001</v>
      </c>
      <c r="Q28" s="37">
        <v>157.4</v>
      </c>
      <c r="R28" s="37">
        <v>158.69999999999999</v>
      </c>
      <c r="S28" s="37">
        <v>160.69999999999999</v>
      </c>
      <c r="T28" s="37">
        <v>162.4</v>
      </c>
      <c r="U28" s="37">
        <v>164.6</v>
      </c>
      <c r="V28" s="37">
        <v>166.5</v>
      </c>
      <c r="W28" s="37">
        <v>168.4</v>
      </c>
      <c r="X28" s="37">
        <v>169.9</v>
      </c>
      <c r="Y28" s="37">
        <v>171.3</v>
      </c>
      <c r="Z28" s="37">
        <v>172.7</v>
      </c>
      <c r="AA28" s="37">
        <v>174.3</v>
      </c>
      <c r="AB28" s="37">
        <v>175.3</v>
      </c>
      <c r="AC28" s="37">
        <v>176.2</v>
      </c>
      <c r="AD28" s="37">
        <v>177</v>
      </c>
      <c r="AE28" s="37">
        <v>177.6</v>
      </c>
      <c r="AF28" s="37">
        <v>178.7</v>
      </c>
      <c r="AG28" s="37">
        <v>178.7</v>
      </c>
      <c r="AH28" s="37">
        <v>179.2</v>
      </c>
      <c r="AI28" s="37">
        <v>179.7</v>
      </c>
    </row>
    <row r="29" spans="3:35" x14ac:dyDescent="0.35">
      <c r="C29" s="37" t="s">
        <v>61</v>
      </c>
      <c r="D29" s="37" t="s">
        <v>34</v>
      </c>
      <c r="E29" s="121">
        <f t="shared" si="0"/>
        <v>0.57534851870344261</v>
      </c>
      <c r="F29" s="37">
        <v>153.6</v>
      </c>
      <c r="G29" s="37">
        <v>154.19999999999999</v>
      </c>
      <c r="H29" s="37">
        <v>155.80000000000001</v>
      </c>
      <c r="I29" s="37">
        <v>156.4</v>
      </c>
      <c r="J29" s="37">
        <v>157.30000000000001</v>
      </c>
      <c r="K29" s="37">
        <v>160.4</v>
      </c>
      <c r="L29" s="37">
        <v>160.69999999999999</v>
      </c>
      <c r="M29" s="37">
        <v>161.4</v>
      </c>
      <c r="N29" s="37">
        <v>163.19999999999999</v>
      </c>
      <c r="O29" s="37">
        <v>163.30000000000001</v>
      </c>
      <c r="P29" s="37">
        <v>164.3</v>
      </c>
      <c r="Q29" s="37">
        <v>165.8</v>
      </c>
      <c r="R29" s="37">
        <v>167</v>
      </c>
      <c r="S29" s="37">
        <v>168.5</v>
      </c>
      <c r="T29" s="37">
        <v>169.6</v>
      </c>
      <c r="U29" s="37">
        <v>171.1</v>
      </c>
      <c r="V29" s="37">
        <v>172.8</v>
      </c>
      <c r="W29" s="37">
        <v>174.6</v>
      </c>
      <c r="X29" s="37">
        <v>176</v>
      </c>
      <c r="Y29" s="37">
        <v>177.3</v>
      </c>
      <c r="Z29" s="37">
        <v>178.5</v>
      </c>
      <c r="AA29" s="37">
        <v>179.9</v>
      </c>
      <c r="AB29" s="37">
        <v>181</v>
      </c>
      <c r="AC29" s="37">
        <v>182.1</v>
      </c>
      <c r="AD29" s="37">
        <v>183</v>
      </c>
      <c r="AE29" s="37">
        <v>183.8</v>
      </c>
      <c r="AF29" s="37">
        <v>185.1</v>
      </c>
      <c r="AG29" s="37">
        <v>185.1</v>
      </c>
      <c r="AH29" s="37">
        <v>185.7</v>
      </c>
      <c r="AI29" s="37">
        <v>186.2</v>
      </c>
    </row>
    <row r="30" spans="3:35" x14ac:dyDescent="0.35">
      <c r="C30" s="37" t="s">
        <v>63</v>
      </c>
      <c r="D30" s="37" t="s">
        <v>34</v>
      </c>
      <c r="E30" s="121">
        <f t="shared" si="0"/>
        <v>0.48431911206018458</v>
      </c>
      <c r="F30" s="37">
        <v>158.4</v>
      </c>
      <c r="G30" s="37">
        <v>157.69999999999999</v>
      </c>
      <c r="H30" s="37">
        <v>159.80000000000001</v>
      </c>
      <c r="I30" s="37">
        <v>159.9</v>
      </c>
      <c r="J30" s="37">
        <v>161.4</v>
      </c>
      <c r="K30" s="37">
        <v>161.6</v>
      </c>
      <c r="L30" s="37">
        <v>160.5</v>
      </c>
      <c r="M30" s="37">
        <v>161.5</v>
      </c>
      <c r="N30" s="37">
        <v>162.1</v>
      </c>
      <c r="O30" s="37">
        <v>162.1</v>
      </c>
      <c r="P30" s="37">
        <v>163.6</v>
      </c>
      <c r="Q30" s="37">
        <v>164.2</v>
      </c>
      <c r="R30" s="37">
        <v>163.4</v>
      </c>
      <c r="S30" s="37">
        <v>164.5</v>
      </c>
      <c r="T30" s="37">
        <v>165.5</v>
      </c>
      <c r="U30" s="37">
        <v>165.3</v>
      </c>
      <c r="V30" s="37">
        <v>167</v>
      </c>
      <c r="W30" s="37">
        <v>167.5</v>
      </c>
      <c r="X30" s="37">
        <v>166.8</v>
      </c>
      <c r="Y30" s="37">
        <v>167.8</v>
      </c>
      <c r="Z30" s="37">
        <v>169</v>
      </c>
      <c r="AA30" s="37">
        <v>169.5</v>
      </c>
      <c r="AB30" s="37">
        <v>171.2</v>
      </c>
      <c r="AC30" s="37">
        <v>171.8</v>
      </c>
      <c r="AD30" s="37">
        <v>170.7</v>
      </c>
      <c r="AE30" s="37">
        <v>172.1</v>
      </c>
      <c r="AF30" s="37">
        <v>173.5</v>
      </c>
      <c r="AG30" s="37">
        <v>173.5</v>
      </c>
      <c r="AH30" s="37">
        <v>175.2</v>
      </c>
      <c r="AI30" s="37">
        <v>175.6</v>
      </c>
    </row>
    <row r="31" spans="3:35" x14ac:dyDescent="0.35">
      <c r="C31" s="44" t="s">
        <v>62</v>
      </c>
      <c r="D31" s="37" t="s">
        <v>34</v>
      </c>
      <c r="E31" s="121">
        <f t="shared" si="0"/>
        <v>0.63188470178343092</v>
      </c>
      <c r="F31" s="37">
        <v>144.6</v>
      </c>
      <c r="G31" s="37">
        <v>147.9</v>
      </c>
      <c r="H31" s="37">
        <v>152.4</v>
      </c>
      <c r="I31" s="37">
        <v>155.5</v>
      </c>
      <c r="J31" s="37">
        <v>155.6</v>
      </c>
      <c r="K31" s="37">
        <v>159.4</v>
      </c>
      <c r="L31" s="37">
        <v>159.80000000000001</v>
      </c>
      <c r="M31" s="37">
        <v>160.69999999999999</v>
      </c>
      <c r="N31" s="37">
        <v>162.6</v>
      </c>
      <c r="O31" s="37">
        <v>162.6</v>
      </c>
      <c r="P31" s="37">
        <v>164.2</v>
      </c>
      <c r="Q31" s="37">
        <v>163.9</v>
      </c>
      <c r="R31" s="37">
        <v>164.1</v>
      </c>
      <c r="S31" s="37">
        <v>164.2</v>
      </c>
      <c r="T31" s="37">
        <v>165.7</v>
      </c>
      <c r="U31" s="37">
        <v>167.2</v>
      </c>
      <c r="V31" s="37">
        <v>172.2</v>
      </c>
      <c r="W31" s="37">
        <v>174.6</v>
      </c>
      <c r="X31" s="37">
        <v>176</v>
      </c>
      <c r="Y31" s="37">
        <v>179.6</v>
      </c>
      <c r="Z31" s="37">
        <v>178.8</v>
      </c>
      <c r="AA31" s="37">
        <v>179.5</v>
      </c>
      <c r="AB31" s="37">
        <v>180.5</v>
      </c>
      <c r="AC31" s="37">
        <v>181.3</v>
      </c>
      <c r="AD31" s="37">
        <v>182</v>
      </c>
      <c r="AE31" s="37">
        <v>182</v>
      </c>
      <c r="AF31" s="37">
        <v>182.1</v>
      </c>
      <c r="AG31" s="37">
        <v>181.9</v>
      </c>
      <c r="AH31" s="37">
        <v>181.7</v>
      </c>
      <c r="AI31" s="37">
        <v>182.8</v>
      </c>
    </row>
    <row r="32" spans="3:35" x14ac:dyDescent="0.35">
      <c r="C32" s="44" t="s">
        <v>62</v>
      </c>
      <c r="D32" s="37" t="s">
        <v>34</v>
      </c>
      <c r="E32" s="121">
        <f t="shared" si="0"/>
        <v>0.55802582361875241</v>
      </c>
      <c r="F32" s="37">
        <v>149.69999999999999</v>
      </c>
      <c r="G32" s="37">
        <v>150</v>
      </c>
      <c r="H32" s="37">
        <v>150.9</v>
      </c>
      <c r="I32" s="37">
        <v>151.19999999999999</v>
      </c>
      <c r="J32" s="37">
        <v>151.80000000000001</v>
      </c>
      <c r="K32" s="37">
        <v>154.69999999999999</v>
      </c>
      <c r="L32" s="37">
        <v>154.80000000000001</v>
      </c>
      <c r="M32" s="37">
        <v>155.80000000000001</v>
      </c>
      <c r="N32" s="37">
        <v>157.5</v>
      </c>
      <c r="O32" s="37">
        <v>157.5</v>
      </c>
      <c r="P32" s="37">
        <v>158.4</v>
      </c>
      <c r="Q32" s="37">
        <v>159.30000000000001</v>
      </c>
      <c r="R32" s="37">
        <v>160.19999999999999</v>
      </c>
      <c r="S32" s="37">
        <v>161.1</v>
      </c>
      <c r="T32" s="37">
        <v>161.80000000000001</v>
      </c>
      <c r="U32" s="37">
        <v>162.80000000000001</v>
      </c>
      <c r="V32" s="37">
        <v>164</v>
      </c>
      <c r="W32" s="37">
        <v>165.2</v>
      </c>
      <c r="X32" s="37">
        <v>166.4</v>
      </c>
      <c r="Y32" s="37">
        <v>167.4</v>
      </c>
      <c r="Z32" s="37">
        <v>168.5</v>
      </c>
      <c r="AA32" s="37">
        <v>169.5</v>
      </c>
      <c r="AB32" s="37">
        <v>170.4</v>
      </c>
      <c r="AC32" s="37">
        <v>171.4</v>
      </c>
      <c r="AD32" s="37">
        <v>172.1</v>
      </c>
      <c r="AE32" s="37">
        <v>172.9</v>
      </c>
      <c r="AF32" s="37">
        <v>174.2</v>
      </c>
      <c r="AG32" s="37">
        <v>174.2</v>
      </c>
      <c r="AH32" s="37">
        <v>174.6</v>
      </c>
      <c r="AI32" s="37">
        <v>175.2</v>
      </c>
    </row>
    <row r="33" spans="3:35" x14ac:dyDescent="0.35">
      <c r="C33" s="37" t="s">
        <v>23</v>
      </c>
      <c r="D33" s="37" t="s">
        <v>34</v>
      </c>
      <c r="E33" s="121">
        <f t="shared" si="0"/>
        <v>0.54112937499771829</v>
      </c>
      <c r="F33" s="37">
        <v>158.30000000000001</v>
      </c>
      <c r="G33" s="37">
        <v>159.30000000000001</v>
      </c>
      <c r="H33" s="37">
        <v>161.30000000000001</v>
      </c>
      <c r="I33" s="37">
        <v>161.69999999999999</v>
      </c>
      <c r="J33" s="37">
        <v>162.30000000000001</v>
      </c>
      <c r="K33" s="37">
        <v>165.8</v>
      </c>
      <c r="L33" s="37">
        <v>166.3</v>
      </c>
      <c r="M33" s="37">
        <v>167</v>
      </c>
      <c r="N33" s="37">
        <v>168.4</v>
      </c>
      <c r="O33" s="37">
        <v>168.4</v>
      </c>
      <c r="P33" s="37">
        <v>169.1</v>
      </c>
      <c r="Q33" s="37">
        <v>169.9</v>
      </c>
      <c r="R33" s="37">
        <v>170.6</v>
      </c>
      <c r="S33" s="37">
        <v>171.4</v>
      </c>
      <c r="T33" s="37">
        <v>172.2</v>
      </c>
      <c r="U33" s="37">
        <v>173</v>
      </c>
      <c r="V33" s="37">
        <v>174</v>
      </c>
      <c r="W33" s="37">
        <v>174.8</v>
      </c>
      <c r="X33" s="37">
        <v>175.4</v>
      </c>
      <c r="Y33" s="37">
        <v>176.1</v>
      </c>
      <c r="Z33" s="37">
        <v>176.8</v>
      </c>
      <c r="AA33" s="37">
        <v>177.8</v>
      </c>
      <c r="AB33" s="37">
        <v>178.7</v>
      </c>
      <c r="AC33" s="37">
        <v>179.8</v>
      </c>
      <c r="AD33" s="37">
        <v>181.1</v>
      </c>
      <c r="AE33" s="37">
        <v>182.3</v>
      </c>
      <c r="AF33" s="37">
        <v>184.4</v>
      </c>
      <c r="AG33" s="37">
        <v>184.4</v>
      </c>
      <c r="AH33" s="37">
        <v>185</v>
      </c>
      <c r="AI33" s="37">
        <v>185.7</v>
      </c>
    </row>
    <row r="34" spans="3:35" x14ac:dyDescent="0.35">
      <c r="C34" s="37" t="s">
        <v>61</v>
      </c>
      <c r="D34" s="37" t="s">
        <v>34</v>
      </c>
      <c r="E34" s="121">
        <f t="shared" si="0"/>
        <v>0.71660353512985808</v>
      </c>
      <c r="F34" s="37">
        <v>140.69999999999999</v>
      </c>
      <c r="G34" s="37">
        <v>141.9</v>
      </c>
      <c r="H34" s="37">
        <v>145.1</v>
      </c>
      <c r="I34" s="37">
        <v>146.19999999999999</v>
      </c>
      <c r="J34" s="37">
        <v>146.6</v>
      </c>
      <c r="K34" s="37">
        <v>148.9</v>
      </c>
      <c r="L34" s="37">
        <v>150.69999999999999</v>
      </c>
      <c r="M34" s="37">
        <v>153.1</v>
      </c>
      <c r="N34" s="37">
        <v>154</v>
      </c>
      <c r="O34" s="37">
        <v>154</v>
      </c>
      <c r="P34" s="37">
        <v>155.69999999999999</v>
      </c>
      <c r="Q34" s="37">
        <v>154.80000000000001</v>
      </c>
      <c r="R34" s="37">
        <v>155.69999999999999</v>
      </c>
      <c r="S34" s="37">
        <v>156.5</v>
      </c>
      <c r="T34" s="37">
        <v>156.9</v>
      </c>
      <c r="U34" s="37">
        <v>157.9</v>
      </c>
      <c r="V34" s="37">
        <v>162.6</v>
      </c>
      <c r="W34" s="37">
        <v>163</v>
      </c>
      <c r="X34" s="37">
        <v>161.1</v>
      </c>
      <c r="Y34" s="37">
        <v>161.6</v>
      </c>
      <c r="Z34" s="37">
        <v>161.9</v>
      </c>
      <c r="AA34" s="37">
        <v>162.30000000000001</v>
      </c>
      <c r="AB34" s="37">
        <v>162.9</v>
      </c>
      <c r="AC34" s="37">
        <v>163</v>
      </c>
      <c r="AD34" s="37">
        <v>163.4</v>
      </c>
      <c r="AE34" s="37">
        <v>163.6</v>
      </c>
      <c r="AF34" s="37">
        <v>164.2</v>
      </c>
      <c r="AG34" s="37">
        <v>164.2</v>
      </c>
      <c r="AH34" s="37">
        <v>164.5</v>
      </c>
      <c r="AI34" s="37">
        <v>164.8</v>
      </c>
    </row>
    <row r="35" spans="3:35" x14ac:dyDescent="0.35">
      <c r="C35" s="37" t="s">
        <v>60</v>
      </c>
      <c r="D35" s="37" t="s">
        <v>34</v>
      </c>
      <c r="E35" s="121">
        <f t="shared" si="0"/>
        <v>0.64374338706997569</v>
      </c>
      <c r="F35" s="37">
        <v>148.5</v>
      </c>
      <c r="G35" s="37">
        <v>149.6</v>
      </c>
      <c r="H35" s="37">
        <v>151.5</v>
      </c>
      <c r="I35" s="37">
        <v>152.6</v>
      </c>
      <c r="J35" s="37">
        <v>153.19999999999999</v>
      </c>
      <c r="K35" s="37">
        <v>155.80000000000001</v>
      </c>
      <c r="L35" s="37">
        <v>154.9</v>
      </c>
      <c r="M35" s="37">
        <v>155.30000000000001</v>
      </c>
      <c r="N35" s="37">
        <v>157.6</v>
      </c>
      <c r="O35" s="37">
        <v>157.69999999999999</v>
      </c>
      <c r="P35" s="37">
        <v>158.6</v>
      </c>
      <c r="Q35" s="37">
        <v>159.80000000000001</v>
      </c>
      <c r="R35" s="37">
        <v>160.6</v>
      </c>
      <c r="S35" s="37">
        <v>161.19999999999999</v>
      </c>
      <c r="T35" s="37">
        <v>162.1</v>
      </c>
      <c r="U35" s="37">
        <v>163.30000000000001</v>
      </c>
      <c r="V35" s="37">
        <v>164.4</v>
      </c>
      <c r="W35" s="37">
        <v>165.1</v>
      </c>
      <c r="X35" s="37">
        <v>165.8</v>
      </c>
      <c r="Y35" s="37">
        <v>166.3</v>
      </c>
      <c r="Z35" s="37">
        <v>166.9</v>
      </c>
      <c r="AA35" s="37">
        <v>167.6</v>
      </c>
      <c r="AB35" s="37">
        <v>168.2</v>
      </c>
      <c r="AC35" s="37">
        <v>168.5</v>
      </c>
      <c r="AD35" s="37">
        <v>168.9</v>
      </c>
      <c r="AE35" s="37">
        <v>169.5</v>
      </c>
      <c r="AF35" s="37">
        <v>170.3</v>
      </c>
      <c r="AG35" s="37">
        <v>170.3</v>
      </c>
      <c r="AH35" s="37">
        <v>170.7</v>
      </c>
      <c r="AI35" s="37">
        <v>171.2</v>
      </c>
    </row>
    <row r="36" spans="3:35" x14ac:dyDescent="0.35">
      <c r="C36" s="37" t="s">
        <v>61</v>
      </c>
      <c r="D36" s="37" t="s">
        <v>34</v>
      </c>
      <c r="E36" s="121">
        <f t="shared" si="0"/>
        <v>0.48752165269006892</v>
      </c>
      <c r="F36" s="37">
        <v>159.4</v>
      </c>
      <c r="G36" s="37">
        <v>159.19999999999999</v>
      </c>
      <c r="H36" s="37">
        <v>159.5</v>
      </c>
      <c r="I36" s="37">
        <v>160.19999999999999</v>
      </c>
      <c r="J36" s="37">
        <v>160.30000000000001</v>
      </c>
      <c r="K36" s="37">
        <v>161.19999999999999</v>
      </c>
      <c r="L36" s="37">
        <v>161.69999999999999</v>
      </c>
      <c r="M36" s="37">
        <v>163.19999999999999</v>
      </c>
      <c r="N36" s="37">
        <v>163.80000000000001</v>
      </c>
      <c r="O36" s="37">
        <v>163.69999999999999</v>
      </c>
      <c r="P36" s="37">
        <v>163.9</v>
      </c>
      <c r="Q36" s="37">
        <v>164.3</v>
      </c>
      <c r="R36" s="37">
        <v>164.4</v>
      </c>
      <c r="S36" s="37">
        <v>164.7</v>
      </c>
      <c r="T36" s="37">
        <v>165.4</v>
      </c>
      <c r="U36" s="37">
        <v>166</v>
      </c>
      <c r="V36" s="37">
        <v>166.9</v>
      </c>
      <c r="W36" s="37">
        <v>167.9</v>
      </c>
      <c r="X36" s="37">
        <v>169</v>
      </c>
      <c r="Y36" s="37">
        <v>171.4</v>
      </c>
      <c r="Z36" s="37">
        <v>172.3</v>
      </c>
      <c r="AA36" s="37">
        <v>173.1</v>
      </c>
      <c r="AB36" s="37">
        <v>173.4</v>
      </c>
      <c r="AC36" s="37">
        <v>173.7</v>
      </c>
      <c r="AD36" s="37">
        <v>174.1</v>
      </c>
      <c r="AE36" s="37">
        <v>174.3</v>
      </c>
      <c r="AF36" s="37">
        <v>175</v>
      </c>
      <c r="AG36" s="37">
        <v>175</v>
      </c>
      <c r="AH36" s="37">
        <v>176.4</v>
      </c>
      <c r="AI36" s="37">
        <v>177.1</v>
      </c>
    </row>
    <row r="37" spans="3:35" x14ac:dyDescent="0.35">
      <c r="C37" s="37" t="s">
        <v>60</v>
      </c>
      <c r="D37" s="37" t="s">
        <v>34</v>
      </c>
      <c r="E37" s="121">
        <f t="shared" si="0"/>
        <v>0.43693434804703435</v>
      </c>
      <c r="F37" s="37">
        <v>157.1</v>
      </c>
      <c r="G37" s="37">
        <v>156.80000000000001</v>
      </c>
      <c r="H37" s="37">
        <v>155.80000000000001</v>
      </c>
      <c r="I37" s="37">
        <v>153.80000000000001</v>
      </c>
      <c r="J37" s="37">
        <v>155.4</v>
      </c>
      <c r="K37" s="37">
        <v>158.6</v>
      </c>
      <c r="L37" s="37">
        <v>158.80000000000001</v>
      </c>
      <c r="M37" s="37">
        <v>160.1</v>
      </c>
      <c r="N37" s="37">
        <v>160</v>
      </c>
      <c r="O37" s="37">
        <v>160</v>
      </c>
      <c r="P37" s="37">
        <v>160.80000000000001</v>
      </c>
      <c r="Q37" s="37">
        <v>162.19999999999999</v>
      </c>
      <c r="R37" s="37">
        <v>162.6</v>
      </c>
      <c r="S37" s="37">
        <v>163</v>
      </c>
      <c r="T37" s="37">
        <v>164.4</v>
      </c>
      <c r="U37" s="37">
        <v>167.2</v>
      </c>
      <c r="V37" s="37">
        <v>168.8</v>
      </c>
      <c r="W37" s="37">
        <v>168.4</v>
      </c>
      <c r="X37" s="37">
        <v>169.4</v>
      </c>
      <c r="Y37" s="37">
        <v>169.7</v>
      </c>
      <c r="Z37" s="37">
        <v>171.2</v>
      </c>
      <c r="AA37" s="37">
        <v>170.9</v>
      </c>
      <c r="AB37" s="37">
        <v>172.1</v>
      </c>
      <c r="AC37" s="37">
        <v>173.6</v>
      </c>
      <c r="AD37" s="37">
        <v>175.8</v>
      </c>
      <c r="AE37" s="37">
        <v>178.6</v>
      </c>
      <c r="AF37" s="37">
        <v>181</v>
      </c>
      <c r="AG37" s="37">
        <v>181</v>
      </c>
      <c r="AH37" s="37">
        <v>184</v>
      </c>
      <c r="AI37" s="37">
        <v>185.2</v>
      </c>
    </row>
    <row r="38" spans="3:35" x14ac:dyDescent="0.35">
      <c r="C38" s="37" t="s">
        <v>28</v>
      </c>
      <c r="D38" s="37" t="s">
        <v>34</v>
      </c>
      <c r="E38" s="121">
        <f t="shared" si="0"/>
        <v>0.58980108211167748</v>
      </c>
      <c r="F38" s="37">
        <v>151.19999999999999</v>
      </c>
      <c r="G38" s="37">
        <v>151.9</v>
      </c>
      <c r="H38" s="37">
        <v>153.4</v>
      </c>
      <c r="I38" s="37">
        <v>153.80000000000001</v>
      </c>
      <c r="J38" s="37">
        <v>154.4</v>
      </c>
      <c r="K38" s="37">
        <v>156.80000000000001</v>
      </c>
      <c r="L38" s="37">
        <v>157.6</v>
      </c>
      <c r="M38" s="37">
        <v>159</v>
      </c>
      <c r="N38" s="37">
        <v>160</v>
      </c>
      <c r="O38" s="37">
        <v>160</v>
      </c>
      <c r="P38" s="37">
        <v>161</v>
      </c>
      <c r="Q38" s="37">
        <v>161.4</v>
      </c>
      <c r="R38" s="37">
        <v>162</v>
      </c>
      <c r="S38" s="37">
        <v>162.69999999999999</v>
      </c>
      <c r="T38" s="37">
        <v>163.5</v>
      </c>
      <c r="U38" s="37">
        <v>164.6</v>
      </c>
      <c r="V38" s="37">
        <v>166.8</v>
      </c>
      <c r="W38" s="37">
        <v>167.5</v>
      </c>
      <c r="X38" s="37">
        <v>167.5</v>
      </c>
      <c r="Y38" s="37">
        <v>168.4</v>
      </c>
      <c r="Z38" s="37">
        <v>169.1</v>
      </c>
      <c r="AA38" s="37">
        <v>169.7</v>
      </c>
      <c r="AB38" s="37">
        <v>170.5</v>
      </c>
      <c r="AC38" s="37">
        <v>171.1</v>
      </c>
      <c r="AD38" s="37">
        <v>172</v>
      </c>
      <c r="AE38" s="37">
        <v>172.8</v>
      </c>
      <c r="AF38" s="37">
        <v>174.1</v>
      </c>
      <c r="AG38" s="37">
        <v>174.1</v>
      </c>
      <c r="AH38" s="37">
        <v>175</v>
      </c>
      <c r="AI38" s="37">
        <v>175.7</v>
      </c>
    </row>
    <row r="39" spans="3:35" x14ac:dyDescent="0.35">
      <c r="C39" s="45" t="s">
        <v>64</v>
      </c>
      <c r="D39" s="37" t="s">
        <v>34</v>
      </c>
      <c r="E39" s="121">
        <f t="shared" si="0"/>
        <v>0.58773409681153965</v>
      </c>
      <c r="F39" s="37">
        <v>158.9</v>
      </c>
      <c r="G39" s="37">
        <v>157.30000000000001</v>
      </c>
      <c r="H39" s="37">
        <v>156.6</v>
      </c>
      <c r="I39" s="37">
        <v>156.80000000000001</v>
      </c>
      <c r="J39" s="37">
        <v>157.80000000000001</v>
      </c>
      <c r="K39" s="37">
        <v>160.4</v>
      </c>
      <c r="L39" s="37">
        <v>161.30000000000001</v>
      </c>
      <c r="M39" s="37">
        <v>162.5</v>
      </c>
      <c r="N39" s="37">
        <v>163.19999999999999</v>
      </c>
      <c r="O39" s="37">
        <v>163.19999999999999</v>
      </c>
      <c r="P39" s="37">
        <v>165.5</v>
      </c>
      <c r="Q39" s="37">
        <v>166.7</v>
      </c>
      <c r="R39" s="37">
        <v>166.2</v>
      </c>
      <c r="S39" s="37">
        <v>165.7</v>
      </c>
      <c r="T39" s="37">
        <v>166.1</v>
      </c>
      <c r="U39" s="37">
        <v>167.7</v>
      </c>
      <c r="V39" s="37">
        <v>170.1</v>
      </c>
      <c r="W39" s="37">
        <v>171.7</v>
      </c>
      <c r="X39" s="37">
        <v>172.6</v>
      </c>
      <c r="Y39" s="37">
        <v>173.4</v>
      </c>
      <c r="Z39" s="37">
        <v>174.3</v>
      </c>
      <c r="AA39" s="37">
        <v>175.3</v>
      </c>
      <c r="AB39" s="37">
        <v>176.7</v>
      </c>
      <c r="AC39" s="37">
        <v>176.5</v>
      </c>
      <c r="AD39" s="37">
        <v>175.7</v>
      </c>
      <c r="AE39" s="37">
        <v>176.5</v>
      </c>
      <c r="AF39" s="37">
        <v>177.2</v>
      </c>
      <c r="AG39" s="37">
        <v>177.2</v>
      </c>
      <c r="AH39" s="37">
        <v>178.1</v>
      </c>
      <c r="AI39" s="37">
        <v>179.1</v>
      </c>
    </row>
    <row r="40" spans="3:35" x14ac:dyDescent="0.35">
      <c r="C40" s="36" t="s">
        <v>59</v>
      </c>
      <c r="D40" s="36" t="s">
        <v>101</v>
      </c>
      <c r="E40" s="121">
        <f t="shared" si="0"/>
        <v>0.29396070360861548</v>
      </c>
      <c r="F40" s="36">
        <v>144.6</v>
      </c>
      <c r="G40" s="36">
        <v>143.4</v>
      </c>
      <c r="H40" s="36">
        <v>142.80000000000001</v>
      </c>
      <c r="I40" s="36">
        <v>142.5</v>
      </c>
      <c r="J40" s="36">
        <v>142.69999999999999</v>
      </c>
      <c r="K40" s="36">
        <v>145.1</v>
      </c>
      <c r="L40" s="36">
        <v>145.6</v>
      </c>
      <c r="M40" s="36">
        <v>145.1</v>
      </c>
      <c r="N40" s="36">
        <v>144.9</v>
      </c>
      <c r="O40" s="36">
        <v>145.4</v>
      </c>
      <c r="P40" s="36">
        <v>146.1</v>
      </c>
      <c r="Q40" s="36">
        <v>146.9</v>
      </c>
      <c r="R40" s="36">
        <v>147.4</v>
      </c>
      <c r="S40" s="36">
        <v>148.30000000000001</v>
      </c>
      <c r="T40" s="36">
        <v>148.80000000000001</v>
      </c>
      <c r="U40" s="36">
        <v>150.19999999999999</v>
      </c>
      <c r="V40" s="36">
        <v>151.80000000000001</v>
      </c>
      <c r="W40" s="36">
        <v>152.9</v>
      </c>
      <c r="X40" s="36">
        <v>153.80000000000001</v>
      </c>
      <c r="Y40" s="36">
        <v>155.19999999999999</v>
      </c>
      <c r="Z40" s="36">
        <v>159.5</v>
      </c>
      <c r="AA40" s="36">
        <v>162.9</v>
      </c>
      <c r="AB40" s="36">
        <v>164.7</v>
      </c>
      <c r="AC40" s="36">
        <v>166.9</v>
      </c>
      <c r="AD40" s="36">
        <v>168.8</v>
      </c>
      <c r="AE40" s="36">
        <v>174</v>
      </c>
      <c r="AF40" s="36">
        <v>174.2</v>
      </c>
      <c r="AG40" s="36">
        <v>174.3</v>
      </c>
      <c r="AH40" s="36">
        <v>173.3</v>
      </c>
      <c r="AI40" s="36">
        <v>173.2</v>
      </c>
    </row>
    <row r="41" spans="3:35" x14ac:dyDescent="0.35">
      <c r="C41" s="36" t="s">
        <v>59</v>
      </c>
      <c r="D41" s="36" t="s">
        <v>101</v>
      </c>
      <c r="E41" s="121">
        <f t="shared" si="0"/>
        <v>0.79063059775701316</v>
      </c>
      <c r="F41" s="36">
        <v>188.5</v>
      </c>
      <c r="G41" s="36">
        <v>187.5</v>
      </c>
      <c r="H41" s="36">
        <v>184</v>
      </c>
      <c r="I41" s="36">
        <v>189.4</v>
      </c>
      <c r="J41" s="36">
        <v>195.5</v>
      </c>
      <c r="K41" s="36">
        <v>198.5</v>
      </c>
      <c r="L41" s="36">
        <v>200.1</v>
      </c>
      <c r="M41" s="36">
        <v>204.5</v>
      </c>
      <c r="N41" s="36">
        <v>202.3</v>
      </c>
      <c r="O41" s="36">
        <v>202.1</v>
      </c>
      <c r="P41" s="36">
        <v>202.5</v>
      </c>
      <c r="Q41" s="36">
        <v>199.8</v>
      </c>
      <c r="R41" s="36">
        <v>197</v>
      </c>
      <c r="S41" s="36">
        <v>196.9</v>
      </c>
      <c r="T41" s="36">
        <v>198.1</v>
      </c>
      <c r="U41" s="36">
        <v>208</v>
      </c>
      <c r="V41" s="36">
        <v>209.7</v>
      </c>
      <c r="W41" s="36">
        <v>214.7</v>
      </c>
      <c r="X41" s="36">
        <v>217.2</v>
      </c>
      <c r="Y41" s="36">
        <v>210.8</v>
      </c>
      <c r="Z41" s="36">
        <v>204.1</v>
      </c>
      <c r="AA41" s="36">
        <v>206.7</v>
      </c>
      <c r="AB41" s="36">
        <v>208.8</v>
      </c>
      <c r="AC41" s="36">
        <v>207.2</v>
      </c>
      <c r="AD41" s="36">
        <v>206.9</v>
      </c>
      <c r="AE41" s="36">
        <v>208.3</v>
      </c>
      <c r="AF41" s="36">
        <v>205.2</v>
      </c>
      <c r="AG41" s="36">
        <v>205.2</v>
      </c>
      <c r="AH41" s="36">
        <v>206.9</v>
      </c>
      <c r="AI41" s="36">
        <v>211.5</v>
      </c>
    </row>
    <row r="42" spans="3:35" x14ac:dyDescent="0.35">
      <c r="C42" s="36" t="s">
        <v>59</v>
      </c>
      <c r="D42" s="36" t="s">
        <v>101</v>
      </c>
      <c r="E42" s="121">
        <f t="shared" si="0"/>
        <v>-0.16696917620773377</v>
      </c>
      <c r="F42" s="36">
        <v>173.4</v>
      </c>
      <c r="G42" s="36">
        <v>173.4</v>
      </c>
      <c r="H42" s="36">
        <v>168</v>
      </c>
      <c r="I42" s="36">
        <v>163.19999999999999</v>
      </c>
      <c r="J42" s="36">
        <v>163.4</v>
      </c>
      <c r="K42" s="36">
        <v>168.6</v>
      </c>
      <c r="L42" s="36">
        <v>179.3</v>
      </c>
      <c r="M42" s="36">
        <v>180.4</v>
      </c>
      <c r="N42" s="36">
        <v>176.5</v>
      </c>
      <c r="O42" s="36">
        <v>172</v>
      </c>
      <c r="P42" s="36">
        <v>170.1</v>
      </c>
      <c r="Q42" s="36">
        <v>171.5</v>
      </c>
      <c r="R42" s="36">
        <v>176.5</v>
      </c>
      <c r="S42" s="36">
        <v>178</v>
      </c>
      <c r="T42" s="36">
        <v>175.5</v>
      </c>
      <c r="U42" s="36">
        <v>167.9</v>
      </c>
      <c r="V42" s="36">
        <v>164.5</v>
      </c>
      <c r="W42" s="36">
        <v>161.4</v>
      </c>
      <c r="X42" s="36">
        <v>169.6</v>
      </c>
      <c r="Y42" s="36">
        <v>174.3</v>
      </c>
      <c r="Z42" s="36">
        <v>168.3</v>
      </c>
      <c r="AA42" s="36">
        <v>169</v>
      </c>
      <c r="AB42" s="36">
        <v>170.3</v>
      </c>
      <c r="AC42" s="36">
        <v>180.2</v>
      </c>
      <c r="AD42" s="36">
        <v>189.1</v>
      </c>
      <c r="AE42" s="36">
        <v>192.9</v>
      </c>
      <c r="AF42" s="36">
        <v>173.9</v>
      </c>
      <c r="AG42" s="36">
        <v>173.9</v>
      </c>
      <c r="AH42" s="36">
        <v>167.9</v>
      </c>
      <c r="AI42" s="36">
        <v>171</v>
      </c>
    </row>
    <row r="43" spans="3:35" x14ac:dyDescent="0.35">
      <c r="C43" s="36" t="s">
        <v>59</v>
      </c>
      <c r="D43" s="36" t="s">
        <v>101</v>
      </c>
      <c r="E43" s="121">
        <f t="shared" si="0"/>
        <v>0.40407075586766422</v>
      </c>
      <c r="F43" s="36">
        <v>154</v>
      </c>
      <c r="G43" s="36">
        <v>154</v>
      </c>
      <c r="H43" s="36">
        <v>154.4</v>
      </c>
      <c r="I43" s="36">
        <v>154.5</v>
      </c>
      <c r="J43" s="36">
        <v>155</v>
      </c>
      <c r="K43" s="36">
        <v>155.80000000000001</v>
      </c>
      <c r="L43" s="36">
        <v>156.1</v>
      </c>
      <c r="M43" s="36">
        <v>157.1</v>
      </c>
      <c r="N43" s="36">
        <v>157.5</v>
      </c>
      <c r="O43" s="36">
        <v>158</v>
      </c>
      <c r="P43" s="36">
        <v>158.4</v>
      </c>
      <c r="Q43" s="36">
        <v>159.1</v>
      </c>
      <c r="R43" s="36">
        <v>159.80000000000001</v>
      </c>
      <c r="S43" s="36">
        <v>160.5</v>
      </c>
      <c r="T43" s="36">
        <v>160.69999999999999</v>
      </c>
      <c r="U43" s="36">
        <v>162</v>
      </c>
      <c r="V43" s="36">
        <v>163.80000000000001</v>
      </c>
      <c r="W43" s="36">
        <v>164.6</v>
      </c>
      <c r="X43" s="36">
        <v>165.4</v>
      </c>
      <c r="Y43" s="36">
        <v>166.3</v>
      </c>
      <c r="Z43" s="36">
        <v>167.9</v>
      </c>
      <c r="AA43" s="36">
        <v>169.5</v>
      </c>
      <c r="AB43" s="36">
        <v>170.9</v>
      </c>
      <c r="AC43" s="36">
        <v>172.3</v>
      </c>
      <c r="AD43" s="36">
        <v>173.4</v>
      </c>
      <c r="AE43" s="36">
        <v>174.3</v>
      </c>
      <c r="AF43" s="36">
        <v>177</v>
      </c>
      <c r="AG43" s="36">
        <v>177</v>
      </c>
      <c r="AH43" s="36">
        <v>178.2</v>
      </c>
      <c r="AI43" s="36">
        <v>179.6</v>
      </c>
    </row>
    <row r="44" spans="3:35" x14ac:dyDescent="0.35">
      <c r="C44" s="36" t="s">
        <v>59</v>
      </c>
      <c r="D44" s="36" t="s">
        <v>101</v>
      </c>
      <c r="E44" s="121">
        <f t="shared" si="0"/>
        <v>0.83011041117421447</v>
      </c>
      <c r="F44" s="36">
        <v>150</v>
      </c>
      <c r="G44" s="36">
        <v>154.80000000000001</v>
      </c>
      <c r="H44" s="36">
        <v>163</v>
      </c>
      <c r="I44" s="36">
        <v>168.2</v>
      </c>
      <c r="J44" s="36">
        <v>175.2</v>
      </c>
      <c r="K44" s="36">
        <v>184.4</v>
      </c>
      <c r="L44" s="36">
        <v>190.4</v>
      </c>
      <c r="M44" s="36">
        <v>188.7</v>
      </c>
      <c r="N44" s="36">
        <v>190.9</v>
      </c>
      <c r="O44" s="36">
        <v>195.5</v>
      </c>
      <c r="P44" s="36">
        <v>198.8</v>
      </c>
      <c r="Q44" s="36">
        <v>198.4</v>
      </c>
      <c r="R44" s="36">
        <v>195.8</v>
      </c>
      <c r="S44" s="36">
        <v>192.6</v>
      </c>
      <c r="T44" s="36">
        <v>192.6</v>
      </c>
      <c r="U44" s="36">
        <v>203.1</v>
      </c>
      <c r="V44" s="36">
        <v>207.4</v>
      </c>
      <c r="W44" s="36">
        <v>209.9</v>
      </c>
      <c r="X44" s="36">
        <v>208.1</v>
      </c>
      <c r="Y44" s="36">
        <v>202.2</v>
      </c>
      <c r="Z44" s="36">
        <v>198.1</v>
      </c>
      <c r="AA44" s="36">
        <v>194.1</v>
      </c>
      <c r="AB44" s="36">
        <v>191.6</v>
      </c>
      <c r="AC44" s="36">
        <v>194</v>
      </c>
      <c r="AD44" s="36">
        <v>193.9</v>
      </c>
      <c r="AE44" s="36">
        <v>192.6</v>
      </c>
      <c r="AF44" s="36">
        <v>183.4</v>
      </c>
      <c r="AG44" s="36">
        <v>183.3</v>
      </c>
      <c r="AH44" s="36">
        <v>178.5</v>
      </c>
      <c r="AI44" s="36">
        <v>173.3</v>
      </c>
    </row>
    <row r="45" spans="3:35" x14ac:dyDescent="0.35">
      <c r="C45" s="36" t="s">
        <v>59</v>
      </c>
      <c r="D45" s="36" t="s">
        <v>101</v>
      </c>
      <c r="E45" s="121">
        <f t="shared" si="0"/>
        <v>0.56443196449808775</v>
      </c>
      <c r="F45" s="36">
        <v>145.9</v>
      </c>
      <c r="G45" s="36">
        <v>147</v>
      </c>
      <c r="H45" s="36">
        <v>147.80000000000001</v>
      </c>
      <c r="I45" s="36">
        <v>150.5</v>
      </c>
      <c r="J45" s="36">
        <v>160.6</v>
      </c>
      <c r="K45" s="36">
        <v>162.30000000000001</v>
      </c>
      <c r="L45" s="36">
        <v>158.6</v>
      </c>
      <c r="M45" s="36">
        <v>157.69999999999999</v>
      </c>
      <c r="N45" s="36">
        <v>155.69999999999999</v>
      </c>
      <c r="O45" s="36">
        <v>152.69999999999999</v>
      </c>
      <c r="P45" s="36">
        <v>152.6</v>
      </c>
      <c r="Q45" s="36">
        <v>153.19999999999999</v>
      </c>
      <c r="R45" s="36">
        <v>152</v>
      </c>
      <c r="S45" s="36">
        <v>151.19999999999999</v>
      </c>
      <c r="T45" s="36">
        <v>151.4</v>
      </c>
      <c r="U45" s="36">
        <v>155.9</v>
      </c>
      <c r="V45" s="36">
        <v>169.7</v>
      </c>
      <c r="W45" s="36">
        <v>168</v>
      </c>
      <c r="X45" s="36">
        <v>165.8</v>
      </c>
      <c r="Y45" s="36">
        <v>169.6</v>
      </c>
      <c r="Z45" s="36">
        <v>169.2</v>
      </c>
      <c r="AA45" s="36">
        <v>164.1</v>
      </c>
      <c r="AB45" s="36">
        <v>162.19999999999999</v>
      </c>
      <c r="AC45" s="36">
        <v>159.1</v>
      </c>
      <c r="AD45" s="36">
        <v>156.69999999999999</v>
      </c>
      <c r="AE45" s="36">
        <v>156.30000000000001</v>
      </c>
      <c r="AF45" s="36">
        <v>167.2</v>
      </c>
      <c r="AG45" s="36">
        <v>167.2</v>
      </c>
      <c r="AH45" s="36">
        <v>173.7</v>
      </c>
      <c r="AI45" s="36">
        <v>169</v>
      </c>
    </row>
    <row r="46" spans="3:35" x14ac:dyDescent="0.35">
      <c r="C46" s="36" t="s">
        <v>59</v>
      </c>
      <c r="D46" s="36" t="s">
        <v>101</v>
      </c>
      <c r="E46" s="121">
        <f t="shared" si="0"/>
        <v>-3.6299944465581352E-2</v>
      </c>
      <c r="F46" s="36">
        <v>225.2</v>
      </c>
      <c r="G46" s="36">
        <v>187.8</v>
      </c>
      <c r="H46" s="36">
        <v>149.69999999999999</v>
      </c>
      <c r="I46" s="36">
        <v>141</v>
      </c>
      <c r="J46" s="36">
        <v>135.1</v>
      </c>
      <c r="K46" s="36">
        <v>138.4</v>
      </c>
      <c r="L46" s="36">
        <v>144.69999999999999</v>
      </c>
      <c r="M46" s="36">
        <v>152.80000000000001</v>
      </c>
      <c r="N46" s="36">
        <v>153.9</v>
      </c>
      <c r="O46" s="36">
        <v>151.4</v>
      </c>
      <c r="P46" s="36">
        <v>170.4</v>
      </c>
      <c r="Q46" s="36">
        <v>183.9</v>
      </c>
      <c r="R46" s="36">
        <v>172.3</v>
      </c>
      <c r="S46" s="36">
        <v>159.19999999999999</v>
      </c>
      <c r="T46" s="36">
        <v>155.19999999999999</v>
      </c>
      <c r="U46" s="36">
        <v>155.80000000000001</v>
      </c>
      <c r="V46" s="36">
        <v>153.6</v>
      </c>
      <c r="W46" s="36">
        <v>160.4</v>
      </c>
      <c r="X46" s="36">
        <v>167.3</v>
      </c>
      <c r="Y46" s="36">
        <v>168.6</v>
      </c>
      <c r="Z46" s="36">
        <v>173.1</v>
      </c>
      <c r="AA46" s="36">
        <v>176.9</v>
      </c>
      <c r="AB46" s="36">
        <v>184.8</v>
      </c>
      <c r="AC46" s="36">
        <v>171.6</v>
      </c>
      <c r="AD46" s="36">
        <v>150.19999999999999</v>
      </c>
      <c r="AE46" s="36">
        <v>142.9</v>
      </c>
      <c r="AF46" s="36">
        <v>140.9</v>
      </c>
      <c r="AG46" s="36">
        <v>140.9</v>
      </c>
      <c r="AH46" s="36">
        <v>142.80000000000001</v>
      </c>
      <c r="AI46" s="36">
        <v>148.69999999999999</v>
      </c>
    </row>
    <row r="47" spans="3:35" x14ac:dyDescent="0.35">
      <c r="C47" s="36" t="s">
        <v>59</v>
      </c>
      <c r="D47" s="36" t="s">
        <v>101</v>
      </c>
      <c r="E47" s="121">
        <f t="shared" si="0"/>
        <v>0.32780122547072621</v>
      </c>
      <c r="F47" s="36">
        <v>159.5</v>
      </c>
      <c r="G47" s="36">
        <v>159.5</v>
      </c>
      <c r="H47" s="36">
        <v>158.30000000000001</v>
      </c>
      <c r="I47" s="36">
        <v>159.19999999999999</v>
      </c>
      <c r="J47" s="36">
        <v>161.1</v>
      </c>
      <c r="K47" s="36">
        <v>165.1</v>
      </c>
      <c r="L47" s="36">
        <v>165.5</v>
      </c>
      <c r="M47" s="36">
        <v>163.6</v>
      </c>
      <c r="N47" s="36">
        <v>162.80000000000001</v>
      </c>
      <c r="O47" s="36">
        <v>163.9</v>
      </c>
      <c r="P47" s="36">
        <v>165.2</v>
      </c>
      <c r="Q47" s="36">
        <v>165.4</v>
      </c>
      <c r="R47" s="36">
        <v>164.5</v>
      </c>
      <c r="S47" s="36">
        <v>164</v>
      </c>
      <c r="T47" s="36">
        <v>163.9</v>
      </c>
      <c r="U47" s="36">
        <v>164.2</v>
      </c>
      <c r="V47" s="36">
        <v>165.1</v>
      </c>
      <c r="W47" s="36">
        <v>165</v>
      </c>
      <c r="X47" s="36">
        <v>164.6</v>
      </c>
      <c r="Y47" s="36">
        <v>164.4</v>
      </c>
      <c r="Z47" s="36">
        <v>167.1</v>
      </c>
      <c r="AA47" s="36">
        <v>169</v>
      </c>
      <c r="AB47" s="36">
        <v>169.7</v>
      </c>
      <c r="AC47" s="36">
        <v>170.2</v>
      </c>
      <c r="AD47" s="36">
        <v>170.5</v>
      </c>
      <c r="AE47" s="36">
        <v>170.7</v>
      </c>
      <c r="AF47" s="36">
        <v>170.4</v>
      </c>
      <c r="AG47" s="36">
        <v>170.5</v>
      </c>
      <c r="AH47" s="36">
        <v>172.8</v>
      </c>
      <c r="AI47" s="36">
        <v>174.9</v>
      </c>
    </row>
    <row r="48" spans="3:35" x14ac:dyDescent="0.35">
      <c r="C48" s="36" t="s">
        <v>59</v>
      </c>
      <c r="D48" s="36" t="s">
        <v>101</v>
      </c>
      <c r="E48" s="121">
        <f t="shared" si="0"/>
        <v>0.54634170783414171</v>
      </c>
      <c r="F48" s="36">
        <v>114.4</v>
      </c>
      <c r="G48" s="36">
        <v>113.8</v>
      </c>
      <c r="H48" s="36">
        <v>111.8</v>
      </c>
      <c r="I48" s="36">
        <v>111.7</v>
      </c>
      <c r="J48" s="36">
        <v>112.2</v>
      </c>
      <c r="K48" s="36">
        <v>114.3</v>
      </c>
      <c r="L48" s="36">
        <v>114.6</v>
      </c>
      <c r="M48" s="36">
        <v>113.9</v>
      </c>
      <c r="N48" s="36">
        <v>115.2</v>
      </c>
      <c r="O48" s="36">
        <v>119.3</v>
      </c>
      <c r="P48" s="36">
        <v>121.6</v>
      </c>
      <c r="Q48" s="36">
        <v>122.1</v>
      </c>
      <c r="R48" s="36">
        <v>120.6</v>
      </c>
      <c r="S48" s="36">
        <v>119.3</v>
      </c>
      <c r="T48" s="36">
        <v>118.1</v>
      </c>
      <c r="U48" s="36">
        <v>118.1</v>
      </c>
      <c r="V48" s="36">
        <v>118.2</v>
      </c>
      <c r="W48" s="36">
        <v>118.9</v>
      </c>
      <c r="X48" s="36">
        <v>119.1</v>
      </c>
      <c r="Y48" s="36">
        <v>119.2</v>
      </c>
      <c r="Z48" s="36">
        <v>120.2</v>
      </c>
      <c r="AA48" s="36">
        <v>120.8</v>
      </c>
      <c r="AB48" s="36">
        <v>121.1</v>
      </c>
      <c r="AC48" s="36">
        <v>121.5</v>
      </c>
      <c r="AD48" s="36">
        <v>121.2</v>
      </c>
      <c r="AE48" s="36">
        <v>120.3</v>
      </c>
      <c r="AF48" s="36">
        <v>119.1</v>
      </c>
      <c r="AG48" s="36">
        <v>119.1</v>
      </c>
      <c r="AH48" s="36">
        <v>120.4</v>
      </c>
      <c r="AI48" s="36">
        <v>121.9</v>
      </c>
    </row>
    <row r="49" spans="3:35" x14ac:dyDescent="0.35">
      <c r="C49" s="36" t="s">
        <v>59</v>
      </c>
      <c r="D49" s="36" t="s">
        <v>101</v>
      </c>
      <c r="E49" s="121">
        <f t="shared" si="0"/>
        <v>0.38598617188348311</v>
      </c>
      <c r="F49" s="36">
        <v>163.5</v>
      </c>
      <c r="G49" s="36">
        <v>164.5</v>
      </c>
      <c r="H49" s="36">
        <v>165</v>
      </c>
      <c r="I49" s="36">
        <v>164</v>
      </c>
      <c r="J49" s="36">
        <v>164.4</v>
      </c>
      <c r="K49" s="36">
        <v>169.7</v>
      </c>
      <c r="L49" s="36">
        <v>170</v>
      </c>
      <c r="M49" s="36">
        <v>169.7</v>
      </c>
      <c r="N49" s="36">
        <v>169.8</v>
      </c>
      <c r="O49" s="36">
        <v>170.1</v>
      </c>
      <c r="P49" s="36">
        <v>170.6</v>
      </c>
      <c r="Q49" s="36">
        <v>170.8</v>
      </c>
      <c r="R49" s="36">
        <v>171.7</v>
      </c>
      <c r="S49" s="36">
        <v>173.3</v>
      </c>
      <c r="T49" s="36">
        <v>175.4</v>
      </c>
      <c r="U49" s="36">
        <v>178.7</v>
      </c>
      <c r="V49" s="36">
        <v>182.9</v>
      </c>
      <c r="W49" s="36">
        <v>186.6</v>
      </c>
      <c r="X49" s="36">
        <v>188.9</v>
      </c>
      <c r="Y49" s="36">
        <v>191.8</v>
      </c>
      <c r="Z49" s="36">
        <v>195.6</v>
      </c>
      <c r="AA49" s="36">
        <v>199.1</v>
      </c>
      <c r="AB49" s="36">
        <v>201.6</v>
      </c>
      <c r="AC49" s="36">
        <v>204.8</v>
      </c>
      <c r="AD49" s="36">
        <v>207.5</v>
      </c>
      <c r="AE49" s="36">
        <v>210.5</v>
      </c>
      <c r="AF49" s="36">
        <v>212.1</v>
      </c>
      <c r="AG49" s="36">
        <v>212.1</v>
      </c>
      <c r="AH49" s="36">
        <v>215.5</v>
      </c>
      <c r="AI49" s="36">
        <v>221</v>
      </c>
    </row>
    <row r="50" spans="3:35" x14ac:dyDescent="0.35">
      <c r="C50" s="36" t="s">
        <v>59</v>
      </c>
      <c r="D50" s="36" t="s">
        <v>101</v>
      </c>
      <c r="E50" s="121">
        <f t="shared" si="0"/>
        <v>0.6637858173527893</v>
      </c>
      <c r="F50" s="36">
        <v>153.4</v>
      </c>
      <c r="G50" s="36">
        <v>156.1</v>
      </c>
      <c r="H50" s="36">
        <v>160</v>
      </c>
      <c r="I50" s="36">
        <v>160.6</v>
      </c>
      <c r="J50" s="36">
        <v>161.9</v>
      </c>
      <c r="K50" s="36">
        <v>164.6</v>
      </c>
      <c r="L50" s="36">
        <v>165.5</v>
      </c>
      <c r="M50" s="36">
        <v>166.2</v>
      </c>
      <c r="N50" s="36">
        <v>167.6</v>
      </c>
      <c r="O50" s="36">
        <v>168.3</v>
      </c>
      <c r="P50" s="36">
        <v>168.8</v>
      </c>
      <c r="Q50" s="36">
        <v>169.1</v>
      </c>
      <c r="R50" s="36">
        <v>169.7</v>
      </c>
      <c r="S50" s="36">
        <v>169.8</v>
      </c>
      <c r="T50" s="36">
        <v>170.5</v>
      </c>
      <c r="U50" s="36">
        <v>171.2</v>
      </c>
      <c r="V50" s="36">
        <v>172.4</v>
      </c>
      <c r="W50" s="36">
        <v>173.2</v>
      </c>
      <c r="X50" s="36">
        <v>174.2</v>
      </c>
      <c r="Y50" s="36">
        <v>174.5</v>
      </c>
      <c r="Z50" s="36">
        <v>174.8</v>
      </c>
      <c r="AA50" s="36">
        <v>175.4</v>
      </c>
      <c r="AB50" s="36">
        <v>175.8</v>
      </c>
      <c r="AC50" s="36">
        <v>176.4</v>
      </c>
      <c r="AD50" s="36">
        <v>176.8</v>
      </c>
      <c r="AE50" s="36">
        <v>176.9</v>
      </c>
      <c r="AF50" s="36">
        <v>177.6</v>
      </c>
      <c r="AG50" s="36">
        <v>177.6</v>
      </c>
      <c r="AH50" s="36">
        <v>178.2</v>
      </c>
      <c r="AI50" s="36">
        <v>178.7</v>
      </c>
    </row>
    <row r="51" spans="3:35" x14ac:dyDescent="0.35">
      <c r="C51" s="36" t="s">
        <v>59</v>
      </c>
      <c r="D51" s="36" t="s">
        <v>101</v>
      </c>
      <c r="E51" s="121">
        <f t="shared" si="0"/>
        <v>0.55196855994349625</v>
      </c>
      <c r="F51" s="36">
        <v>163.6</v>
      </c>
      <c r="G51" s="36">
        <v>164.3</v>
      </c>
      <c r="H51" s="36">
        <v>165.8</v>
      </c>
      <c r="I51" s="36">
        <v>166.4</v>
      </c>
      <c r="J51" s="36">
        <v>166.8</v>
      </c>
      <c r="K51" s="36">
        <v>169.8</v>
      </c>
      <c r="L51" s="36">
        <v>171.7</v>
      </c>
      <c r="M51" s="36">
        <v>171</v>
      </c>
      <c r="N51" s="36">
        <v>171.9</v>
      </c>
      <c r="O51" s="36">
        <v>172.8</v>
      </c>
      <c r="P51" s="36">
        <v>173.6</v>
      </c>
      <c r="Q51" s="36">
        <v>174.3</v>
      </c>
      <c r="R51" s="36">
        <v>175.1</v>
      </c>
      <c r="S51" s="36">
        <v>175.8</v>
      </c>
      <c r="T51" s="36">
        <v>176.3</v>
      </c>
      <c r="U51" s="36">
        <v>177.4</v>
      </c>
      <c r="V51" s="36">
        <v>178.9</v>
      </c>
      <c r="W51" s="36">
        <v>180.4</v>
      </c>
      <c r="X51" s="36">
        <v>181.9</v>
      </c>
      <c r="Y51" s="36">
        <v>183.1</v>
      </c>
      <c r="Z51" s="36">
        <v>184</v>
      </c>
      <c r="AA51" s="36">
        <v>184.8</v>
      </c>
      <c r="AB51" s="36">
        <v>185.6</v>
      </c>
      <c r="AC51" s="36">
        <v>186.9</v>
      </c>
      <c r="AD51" s="36">
        <v>187.7</v>
      </c>
      <c r="AE51" s="36">
        <v>188.5</v>
      </c>
      <c r="AF51" s="36">
        <v>189.9</v>
      </c>
      <c r="AG51" s="36">
        <v>189.9</v>
      </c>
      <c r="AH51" s="36">
        <v>190.5</v>
      </c>
      <c r="AI51" s="36">
        <v>191.1</v>
      </c>
    </row>
    <row r="52" spans="3:35" x14ac:dyDescent="0.35">
      <c r="C52" s="36" t="s">
        <v>59</v>
      </c>
      <c r="D52" s="36" t="s">
        <v>101</v>
      </c>
      <c r="E52" s="121">
        <f t="shared" si="0"/>
        <v>0.5528776261303997</v>
      </c>
      <c r="F52" s="36">
        <v>164.5</v>
      </c>
      <c r="G52" s="36">
        <v>159.6</v>
      </c>
      <c r="H52" s="36">
        <v>154.69999999999999</v>
      </c>
      <c r="I52" s="36">
        <v>154.5</v>
      </c>
      <c r="J52" s="36">
        <v>155.6</v>
      </c>
      <c r="K52" s="36">
        <v>158.69999999999999</v>
      </c>
      <c r="L52" s="36">
        <v>160.5</v>
      </c>
      <c r="M52" s="36">
        <v>161.69999999999999</v>
      </c>
      <c r="N52" s="36">
        <v>161.80000000000001</v>
      </c>
      <c r="O52" s="36">
        <v>162.1</v>
      </c>
      <c r="P52" s="36">
        <v>165.5</v>
      </c>
      <c r="Q52" s="36">
        <v>167.5</v>
      </c>
      <c r="R52" s="36">
        <v>165.8</v>
      </c>
      <c r="S52" s="36">
        <v>164.1</v>
      </c>
      <c r="T52" s="36">
        <v>163.9</v>
      </c>
      <c r="U52" s="36">
        <v>166.6</v>
      </c>
      <c r="V52" s="36">
        <v>168.6</v>
      </c>
      <c r="W52" s="36">
        <v>170.8</v>
      </c>
      <c r="X52" s="36">
        <v>172.4</v>
      </c>
      <c r="Y52" s="36">
        <v>172.5</v>
      </c>
      <c r="Z52" s="36">
        <v>173.9</v>
      </c>
      <c r="AA52" s="36">
        <v>175.5</v>
      </c>
      <c r="AB52" s="36">
        <v>177.4</v>
      </c>
      <c r="AC52" s="36">
        <v>176.6</v>
      </c>
      <c r="AD52" s="36">
        <v>174.4</v>
      </c>
      <c r="AE52" s="36">
        <v>175</v>
      </c>
      <c r="AF52" s="36">
        <v>174.8</v>
      </c>
      <c r="AG52" s="36">
        <v>174.8</v>
      </c>
      <c r="AH52" s="36">
        <v>175.5</v>
      </c>
      <c r="AI52" s="36">
        <v>176.8</v>
      </c>
    </row>
    <row r="53" spans="3:35" x14ac:dyDescent="0.35">
      <c r="C53" s="36" t="s">
        <v>60</v>
      </c>
      <c r="D53" s="36" t="s">
        <v>101</v>
      </c>
      <c r="E53" s="121">
        <f t="shared" si="0"/>
        <v>0.50235592779807803</v>
      </c>
      <c r="F53" s="36">
        <v>183.6</v>
      </c>
      <c r="G53" s="36">
        <v>184.6</v>
      </c>
      <c r="H53" s="36">
        <v>186.5</v>
      </c>
      <c r="I53" s="36">
        <v>186.1</v>
      </c>
      <c r="J53" s="36">
        <v>186.8</v>
      </c>
      <c r="K53" s="36">
        <v>189.6</v>
      </c>
      <c r="L53" s="36">
        <v>189.1</v>
      </c>
      <c r="M53" s="36">
        <v>189.7</v>
      </c>
      <c r="N53" s="36">
        <v>190.2</v>
      </c>
      <c r="O53" s="36">
        <v>190.5</v>
      </c>
      <c r="P53" s="36">
        <v>191.2</v>
      </c>
      <c r="Q53" s="36">
        <v>191.4</v>
      </c>
      <c r="R53" s="36">
        <v>190.8</v>
      </c>
      <c r="S53" s="36">
        <v>190.7</v>
      </c>
      <c r="T53" s="36">
        <v>191.5</v>
      </c>
      <c r="U53" s="36">
        <v>192.3</v>
      </c>
      <c r="V53" s="36">
        <v>192.8</v>
      </c>
      <c r="W53" s="36">
        <v>192.9</v>
      </c>
      <c r="X53" s="36">
        <v>192.9</v>
      </c>
      <c r="Y53" s="36">
        <v>193.2</v>
      </c>
      <c r="Z53" s="36">
        <v>193.7</v>
      </c>
      <c r="AA53" s="36">
        <v>194.5</v>
      </c>
      <c r="AB53" s="36">
        <v>194.9</v>
      </c>
      <c r="AC53" s="36">
        <v>195.5</v>
      </c>
      <c r="AD53" s="36">
        <v>195.9</v>
      </c>
      <c r="AE53" s="36">
        <v>196.9</v>
      </c>
      <c r="AF53" s="36">
        <v>198.3</v>
      </c>
      <c r="AG53" s="36">
        <v>198.4</v>
      </c>
      <c r="AH53" s="36">
        <v>199.5</v>
      </c>
      <c r="AI53" s="36">
        <v>199.9</v>
      </c>
    </row>
    <row r="54" spans="3:35" x14ac:dyDescent="0.35">
      <c r="C54" s="36" t="s">
        <v>61</v>
      </c>
      <c r="D54" s="36" t="s">
        <v>101</v>
      </c>
      <c r="E54" s="121">
        <f t="shared" si="0"/>
        <v>0.57922406629879675</v>
      </c>
      <c r="F54" s="36">
        <v>157</v>
      </c>
      <c r="G54" s="36">
        <v>157.5</v>
      </c>
      <c r="H54" s="36">
        <v>159.1</v>
      </c>
      <c r="I54" s="36">
        <v>159.6</v>
      </c>
      <c r="J54" s="36">
        <v>160.69999999999999</v>
      </c>
      <c r="K54" s="36">
        <v>165.3</v>
      </c>
      <c r="L54" s="36">
        <v>165.3</v>
      </c>
      <c r="M54" s="36">
        <v>166</v>
      </c>
      <c r="N54" s="36">
        <v>167</v>
      </c>
      <c r="O54" s="36">
        <v>167.7</v>
      </c>
      <c r="P54" s="36">
        <v>168.9</v>
      </c>
      <c r="Q54" s="36">
        <v>170.4</v>
      </c>
      <c r="R54" s="36">
        <v>171.8</v>
      </c>
      <c r="S54" s="36">
        <v>173.2</v>
      </c>
      <c r="T54" s="36">
        <v>174.1</v>
      </c>
      <c r="U54" s="36">
        <v>175.4</v>
      </c>
      <c r="V54" s="36">
        <v>177.5</v>
      </c>
      <c r="W54" s="36">
        <v>179.3</v>
      </c>
      <c r="X54" s="36">
        <v>180.7</v>
      </c>
      <c r="Y54" s="36">
        <v>182</v>
      </c>
      <c r="Z54" s="36">
        <v>183.2</v>
      </c>
      <c r="AA54" s="36">
        <v>184.7</v>
      </c>
      <c r="AB54" s="36">
        <v>186.1</v>
      </c>
      <c r="AC54" s="36">
        <v>187.2</v>
      </c>
      <c r="AD54" s="36">
        <v>188.1</v>
      </c>
      <c r="AE54" s="36">
        <v>189</v>
      </c>
      <c r="AF54" s="36">
        <v>190</v>
      </c>
      <c r="AG54" s="36">
        <v>190</v>
      </c>
      <c r="AH54" s="36">
        <v>190.7</v>
      </c>
      <c r="AI54" s="36">
        <v>191.2</v>
      </c>
    </row>
    <row r="55" spans="3:35" x14ac:dyDescent="0.35">
      <c r="C55" s="36" t="s">
        <v>61</v>
      </c>
      <c r="D55" s="36" t="s">
        <v>101</v>
      </c>
      <c r="E55" s="121">
        <f t="shared" si="0"/>
        <v>0.61719225865701877</v>
      </c>
      <c r="F55" s="36">
        <v>151.6</v>
      </c>
      <c r="G55" s="36">
        <v>152.4</v>
      </c>
      <c r="H55" s="36">
        <v>153.9</v>
      </c>
      <c r="I55" s="36">
        <v>154.4</v>
      </c>
      <c r="J55" s="36">
        <v>155.1</v>
      </c>
      <c r="K55" s="36">
        <v>160.6</v>
      </c>
      <c r="L55" s="36">
        <v>159.9</v>
      </c>
      <c r="M55" s="36">
        <v>161.1</v>
      </c>
      <c r="N55" s="36">
        <v>162.6</v>
      </c>
      <c r="O55" s="36">
        <v>163.6</v>
      </c>
      <c r="P55" s="36">
        <v>164.8</v>
      </c>
      <c r="Q55" s="36">
        <v>166</v>
      </c>
      <c r="R55" s="36">
        <v>167.3</v>
      </c>
      <c r="S55" s="36">
        <v>169.3</v>
      </c>
      <c r="T55" s="36">
        <v>171</v>
      </c>
      <c r="U55" s="36">
        <v>173.2</v>
      </c>
      <c r="V55" s="36">
        <v>175.1</v>
      </c>
      <c r="W55" s="36">
        <v>177.2</v>
      </c>
      <c r="X55" s="36">
        <v>178.7</v>
      </c>
      <c r="Y55" s="36">
        <v>180.3</v>
      </c>
      <c r="Z55" s="36">
        <v>181.7</v>
      </c>
      <c r="AA55" s="36">
        <v>183.3</v>
      </c>
      <c r="AB55" s="36">
        <v>184.4</v>
      </c>
      <c r="AC55" s="36">
        <v>185.2</v>
      </c>
      <c r="AD55" s="36">
        <v>185.9</v>
      </c>
      <c r="AE55" s="36">
        <v>186.3</v>
      </c>
      <c r="AF55" s="36">
        <v>187</v>
      </c>
      <c r="AG55" s="36">
        <v>187</v>
      </c>
      <c r="AH55" s="36">
        <v>187.3</v>
      </c>
      <c r="AI55" s="36">
        <v>187.9</v>
      </c>
    </row>
    <row r="56" spans="3:35" x14ac:dyDescent="0.35">
      <c r="C56" s="36" t="s">
        <v>61</v>
      </c>
      <c r="D56" s="36" t="s">
        <v>101</v>
      </c>
      <c r="E56" s="121">
        <f t="shared" si="0"/>
        <v>0.58449533110309404</v>
      </c>
      <c r="F56" s="36">
        <v>156.30000000000001</v>
      </c>
      <c r="G56" s="36">
        <v>156.80000000000001</v>
      </c>
      <c r="H56" s="36">
        <v>158.4</v>
      </c>
      <c r="I56" s="36">
        <v>158.9</v>
      </c>
      <c r="J56" s="36">
        <v>159.9</v>
      </c>
      <c r="K56" s="36">
        <v>164.5</v>
      </c>
      <c r="L56" s="36">
        <v>164.6</v>
      </c>
      <c r="M56" s="36">
        <v>165.3</v>
      </c>
      <c r="N56" s="36">
        <v>166.3</v>
      </c>
      <c r="O56" s="36">
        <v>167.1</v>
      </c>
      <c r="P56" s="36">
        <v>168.3</v>
      </c>
      <c r="Q56" s="36">
        <v>169.8</v>
      </c>
      <c r="R56" s="36">
        <v>171.2</v>
      </c>
      <c r="S56" s="36">
        <v>172.7</v>
      </c>
      <c r="T56" s="36">
        <v>173.7</v>
      </c>
      <c r="U56" s="36">
        <v>175.1</v>
      </c>
      <c r="V56" s="36">
        <v>177.1</v>
      </c>
      <c r="W56" s="36">
        <v>179</v>
      </c>
      <c r="X56" s="36">
        <v>180.4</v>
      </c>
      <c r="Y56" s="36">
        <v>181.7</v>
      </c>
      <c r="Z56" s="36">
        <v>183</v>
      </c>
      <c r="AA56" s="36">
        <v>184.5</v>
      </c>
      <c r="AB56" s="36">
        <v>185.9</v>
      </c>
      <c r="AC56" s="36">
        <v>186.9</v>
      </c>
      <c r="AD56" s="36">
        <v>187.8</v>
      </c>
      <c r="AE56" s="36">
        <v>188.6</v>
      </c>
      <c r="AF56" s="36">
        <v>189.6</v>
      </c>
      <c r="AG56" s="36">
        <v>189.6</v>
      </c>
      <c r="AH56" s="36">
        <v>190.2</v>
      </c>
      <c r="AI56" s="36">
        <v>190.8</v>
      </c>
    </row>
    <row r="57" spans="3:35" x14ac:dyDescent="0.35">
      <c r="C57" s="36" t="s">
        <v>63</v>
      </c>
      <c r="D57" s="36" t="s">
        <v>101</v>
      </c>
      <c r="E57" s="121" t="s">
        <v>32</v>
      </c>
      <c r="F57" s="36" t="s">
        <v>32</v>
      </c>
      <c r="G57" s="36" t="s">
        <v>32</v>
      </c>
      <c r="H57" s="36" t="s">
        <v>32</v>
      </c>
      <c r="I57" s="36" t="s">
        <v>48</v>
      </c>
      <c r="J57" s="36" t="s">
        <v>48</v>
      </c>
      <c r="K57" s="36" t="s">
        <v>32</v>
      </c>
      <c r="L57" s="36" t="s">
        <v>32</v>
      </c>
      <c r="M57" s="36" t="s">
        <v>32</v>
      </c>
      <c r="N57" s="36" t="s">
        <v>32</v>
      </c>
      <c r="O57" s="36" t="s">
        <v>32</v>
      </c>
      <c r="P57" s="36" t="s">
        <v>32</v>
      </c>
      <c r="Q57" s="36" t="s">
        <v>32</v>
      </c>
      <c r="R57" s="36" t="s">
        <v>32</v>
      </c>
      <c r="S57" s="36" t="s">
        <v>32</v>
      </c>
      <c r="T57" s="36" t="s">
        <v>32</v>
      </c>
      <c r="U57" s="36" t="s">
        <v>32</v>
      </c>
      <c r="V57" s="36" t="s">
        <v>32</v>
      </c>
      <c r="W57" s="36" t="s">
        <v>32</v>
      </c>
      <c r="X57" s="36" t="s">
        <v>32</v>
      </c>
      <c r="Y57" s="36" t="s">
        <v>32</v>
      </c>
      <c r="Z57" s="36" t="s">
        <v>32</v>
      </c>
      <c r="AA57" s="36" t="s">
        <v>32</v>
      </c>
      <c r="AB57" s="36" t="s">
        <v>32</v>
      </c>
      <c r="AC57" s="36" t="s">
        <v>32</v>
      </c>
      <c r="AD57" s="36" t="s">
        <v>32</v>
      </c>
      <c r="AE57" s="36" t="s">
        <v>32</v>
      </c>
      <c r="AF57" s="36" t="s">
        <v>32</v>
      </c>
      <c r="AG57" s="36" t="s">
        <v>32</v>
      </c>
      <c r="AH57" s="36" t="s">
        <v>48</v>
      </c>
      <c r="AI57" s="36" t="s">
        <v>48</v>
      </c>
    </row>
    <row r="58" spans="3:35" x14ac:dyDescent="0.35">
      <c r="C58" s="52" t="s">
        <v>62</v>
      </c>
      <c r="D58" s="36" t="s">
        <v>101</v>
      </c>
      <c r="E58" s="121">
        <f t="shared" ref="E58:E77" si="1">CORREL(F58:AI58,$F$9:$AI$9)</f>
        <v>0.63757590651120688</v>
      </c>
      <c r="F58" s="36">
        <v>148.69999999999999</v>
      </c>
      <c r="G58" s="36">
        <v>150.9</v>
      </c>
      <c r="H58" s="36">
        <v>154.4</v>
      </c>
      <c r="I58" s="36">
        <v>156</v>
      </c>
      <c r="J58" s="36">
        <v>156</v>
      </c>
      <c r="K58" s="36">
        <v>161.69999999999999</v>
      </c>
      <c r="L58" s="36">
        <v>162.1</v>
      </c>
      <c r="M58" s="36">
        <v>162.5</v>
      </c>
      <c r="N58" s="36">
        <v>163.1</v>
      </c>
      <c r="O58" s="36">
        <v>163.69999999999999</v>
      </c>
      <c r="P58" s="36">
        <v>165.5</v>
      </c>
      <c r="Q58" s="36">
        <v>165.3</v>
      </c>
      <c r="R58" s="36">
        <v>165.6</v>
      </c>
      <c r="S58" s="36">
        <v>165.8</v>
      </c>
      <c r="T58" s="36">
        <v>167.4</v>
      </c>
      <c r="U58" s="36">
        <v>168.9</v>
      </c>
      <c r="V58" s="36">
        <v>173.3</v>
      </c>
      <c r="W58" s="36">
        <v>175.3</v>
      </c>
      <c r="X58" s="36">
        <v>176.7</v>
      </c>
      <c r="Y58" s="36">
        <v>179.6</v>
      </c>
      <c r="Z58" s="36">
        <v>179.1</v>
      </c>
      <c r="AA58" s="36">
        <v>179.7</v>
      </c>
      <c r="AB58" s="36">
        <v>180.8</v>
      </c>
      <c r="AC58" s="36">
        <v>181.9</v>
      </c>
      <c r="AD58" s="36">
        <v>182.8</v>
      </c>
      <c r="AE58" s="36">
        <v>183.2</v>
      </c>
      <c r="AF58" s="36">
        <v>181.6</v>
      </c>
      <c r="AG58" s="36">
        <v>181.4</v>
      </c>
      <c r="AH58" s="36">
        <v>181.5</v>
      </c>
      <c r="AI58" s="36">
        <v>182.5</v>
      </c>
    </row>
    <row r="59" spans="3:35" x14ac:dyDescent="0.35">
      <c r="C59" s="52" t="s">
        <v>62</v>
      </c>
      <c r="D59" s="36" t="s">
        <v>101</v>
      </c>
      <c r="E59" s="121">
        <f t="shared" si="1"/>
        <v>0.54384427515442912</v>
      </c>
      <c r="F59" s="36">
        <v>153.4</v>
      </c>
      <c r="G59" s="36">
        <v>153.9</v>
      </c>
      <c r="H59" s="36">
        <v>154.80000000000001</v>
      </c>
      <c r="I59" s="36">
        <v>154.80000000000001</v>
      </c>
      <c r="J59" s="36">
        <v>155.5</v>
      </c>
      <c r="K59" s="36">
        <v>158.80000000000001</v>
      </c>
      <c r="L59" s="36">
        <v>159.19999999999999</v>
      </c>
      <c r="M59" s="36">
        <v>160.30000000000001</v>
      </c>
      <c r="N59" s="36">
        <v>160.9</v>
      </c>
      <c r="O59" s="36">
        <v>161.30000000000001</v>
      </c>
      <c r="P59" s="36">
        <v>162</v>
      </c>
      <c r="Q59" s="36">
        <v>162.9</v>
      </c>
      <c r="R59" s="36">
        <v>163.9</v>
      </c>
      <c r="S59" s="36">
        <v>164.9</v>
      </c>
      <c r="T59" s="36">
        <v>165.7</v>
      </c>
      <c r="U59" s="36">
        <v>166.5</v>
      </c>
      <c r="V59" s="36">
        <v>167.7</v>
      </c>
      <c r="W59" s="36">
        <v>168.9</v>
      </c>
      <c r="X59" s="36">
        <v>170.3</v>
      </c>
      <c r="Y59" s="36">
        <v>171.3</v>
      </c>
      <c r="Z59" s="36">
        <v>172.3</v>
      </c>
      <c r="AA59" s="36">
        <v>173.6</v>
      </c>
      <c r="AB59" s="36">
        <v>174.4</v>
      </c>
      <c r="AC59" s="36">
        <v>175.5</v>
      </c>
      <c r="AD59" s="36">
        <v>176.4</v>
      </c>
      <c r="AE59" s="36">
        <v>177.2</v>
      </c>
      <c r="AF59" s="36">
        <v>178.6</v>
      </c>
      <c r="AG59" s="36">
        <v>178.6</v>
      </c>
      <c r="AH59" s="36">
        <v>179.1</v>
      </c>
      <c r="AI59" s="36">
        <v>179.8</v>
      </c>
    </row>
    <row r="60" spans="3:35" x14ac:dyDescent="0.35">
      <c r="C60" s="36" t="s">
        <v>23</v>
      </c>
      <c r="D60" s="36" t="s">
        <v>101</v>
      </c>
      <c r="E60" s="121">
        <f t="shared" si="1"/>
        <v>0.55138044047948287</v>
      </c>
      <c r="F60" s="36">
        <v>161.6</v>
      </c>
      <c r="G60" s="36">
        <v>162.5</v>
      </c>
      <c r="H60" s="36">
        <v>164.3</v>
      </c>
      <c r="I60" s="36">
        <v>164.6</v>
      </c>
      <c r="J60" s="36">
        <v>165.3</v>
      </c>
      <c r="K60" s="36">
        <v>169.1</v>
      </c>
      <c r="L60" s="36">
        <v>169.7</v>
      </c>
      <c r="M60" s="36">
        <v>170.4</v>
      </c>
      <c r="N60" s="36">
        <v>171.1</v>
      </c>
      <c r="O60" s="36">
        <v>171.9</v>
      </c>
      <c r="P60" s="36">
        <v>172.5</v>
      </c>
      <c r="Q60" s="36">
        <v>173.4</v>
      </c>
      <c r="R60" s="36">
        <v>174</v>
      </c>
      <c r="S60" s="36">
        <v>174.7</v>
      </c>
      <c r="T60" s="36">
        <v>175.3</v>
      </c>
      <c r="U60" s="36">
        <v>176</v>
      </c>
      <c r="V60" s="36">
        <v>177</v>
      </c>
      <c r="W60" s="36">
        <v>177.7</v>
      </c>
      <c r="X60" s="36">
        <v>178.2</v>
      </c>
      <c r="Y60" s="36">
        <v>178.8</v>
      </c>
      <c r="Z60" s="36">
        <v>179.4</v>
      </c>
      <c r="AA60" s="36">
        <v>180.2</v>
      </c>
      <c r="AB60" s="36">
        <v>181.2</v>
      </c>
      <c r="AC60" s="36">
        <v>182.3</v>
      </c>
      <c r="AD60" s="36">
        <v>183.5</v>
      </c>
      <c r="AE60" s="36">
        <v>184.7</v>
      </c>
      <c r="AF60" s="36">
        <v>186.6</v>
      </c>
      <c r="AG60" s="36">
        <v>186.6</v>
      </c>
      <c r="AH60" s="36">
        <v>187.2</v>
      </c>
      <c r="AI60" s="36">
        <v>187.8</v>
      </c>
    </row>
    <row r="61" spans="3:35" x14ac:dyDescent="0.35">
      <c r="C61" s="36" t="s">
        <v>61</v>
      </c>
      <c r="D61" s="36" t="s">
        <v>101</v>
      </c>
      <c r="E61" s="121">
        <f t="shared" si="1"/>
        <v>0.69934951716289229</v>
      </c>
      <c r="F61" s="36">
        <v>146.4</v>
      </c>
      <c r="G61" s="36">
        <v>147.5</v>
      </c>
      <c r="H61" s="36">
        <v>150.19999999999999</v>
      </c>
      <c r="I61" s="36">
        <v>151.30000000000001</v>
      </c>
      <c r="J61" s="36">
        <v>151.69999999999999</v>
      </c>
      <c r="K61" s="36">
        <v>153.19999999999999</v>
      </c>
      <c r="L61" s="36">
        <v>154.19999999999999</v>
      </c>
      <c r="M61" s="36">
        <v>157.1</v>
      </c>
      <c r="N61" s="36">
        <v>157.69999999999999</v>
      </c>
      <c r="O61" s="36">
        <v>157.80000000000001</v>
      </c>
      <c r="P61" s="36">
        <v>159.5</v>
      </c>
      <c r="Q61" s="36">
        <v>158.9</v>
      </c>
      <c r="R61" s="36">
        <v>160.1</v>
      </c>
      <c r="S61" s="36">
        <v>160.80000000000001</v>
      </c>
      <c r="T61" s="36">
        <v>161.19999999999999</v>
      </c>
      <c r="U61" s="36">
        <v>162</v>
      </c>
      <c r="V61" s="36">
        <v>166.2</v>
      </c>
      <c r="W61" s="36">
        <v>167.1</v>
      </c>
      <c r="X61" s="36">
        <v>165.5</v>
      </c>
      <c r="Y61" s="36">
        <v>166.3</v>
      </c>
      <c r="Z61" s="36">
        <v>166.6</v>
      </c>
      <c r="AA61" s="36">
        <v>166.9</v>
      </c>
      <c r="AB61" s="36">
        <v>167.4</v>
      </c>
      <c r="AC61" s="36">
        <v>167.5</v>
      </c>
      <c r="AD61" s="36">
        <v>167.8</v>
      </c>
      <c r="AE61" s="36">
        <v>168.2</v>
      </c>
      <c r="AF61" s="36">
        <v>169</v>
      </c>
      <c r="AG61" s="36">
        <v>169</v>
      </c>
      <c r="AH61" s="36">
        <v>169.4</v>
      </c>
      <c r="AI61" s="36">
        <v>169.7</v>
      </c>
    </row>
    <row r="62" spans="3:35" x14ac:dyDescent="0.35">
      <c r="C62" s="36" t="s">
        <v>60</v>
      </c>
      <c r="D62" s="36" t="s">
        <v>101</v>
      </c>
      <c r="E62" s="121">
        <f t="shared" si="1"/>
        <v>0.61840852273041136</v>
      </c>
      <c r="F62" s="36">
        <v>153.9</v>
      </c>
      <c r="G62" s="36">
        <v>155.1</v>
      </c>
      <c r="H62" s="36">
        <v>157</v>
      </c>
      <c r="I62" s="36">
        <v>157.80000000000001</v>
      </c>
      <c r="J62" s="36">
        <v>158.6</v>
      </c>
      <c r="K62" s="36">
        <v>160</v>
      </c>
      <c r="L62" s="36">
        <v>160.4</v>
      </c>
      <c r="M62" s="36">
        <v>160.69999999999999</v>
      </c>
      <c r="N62" s="36">
        <v>161.1</v>
      </c>
      <c r="O62" s="36">
        <v>162.69999999999999</v>
      </c>
      <c r="P62" s="36">
        <v>163.19999999999999</v>
      </c>
      <c r="Q62" s="36">
        <v>163.80000000000001</v>
      </c>
      <c r="R62" s="36">
        <v>164.5</v>
      </c>
      <c r="S62" s="36">
        <v>164.9</v>
      </c>
      <c r="T62" s="36">
        <v>165.5</v>
      </c>
      <c r="U62" s="36">
        <v>166.6</v>
      </c>
      <c r="V62" s="36">
        <v>167.2</v>
      </c>
      <c r="W62" s="36">
        <v>167.6</v>
      </c>
      <c r="X62" s="36">
        <v>168</v>
      </c>
      <c r="Y62" s="36">
        <v>168.6</v>
      </c>
      <c r="Z62" s="36">
        <v>169.3</v>
      </c>
      <c r="AA62" s="36">
        <v>170</v>
      </c>
      <c r="AB62" s="36">
        <v>170.6</v>
      </c>
      <c r="AC62" s="36">
        <v>170.8</v>
      </c>
      <c r="AD62" s="36">
        <v>171.2</v>
      </c>
      <c r="AE62" s="36">
        <v>171.8</v>
      </c>
      <c r="AF62" s="36">
        <v>172.8</v>
      </c>
      <c r="AG62" s="36">
        <v>172.8</v>
      </c>
      <c r="AH62" s="36">
        <v>173.2</v>
      </c>
      <c r="AI62" s="36">
        <v>173.8</v>
      </c>
    </row>
    <row r="63" spans="3:35" x14ac:dyDescent="0.35">
      <c r="C63" s="36" t="s">
        <v>61</v>
      </c>
      <c r="D63" s="36" t="s">
        <v>101</v>
      </c>
      <c r="E63" s="121">
        <f t="shared" si="1"/>
        <v>0.50581965002488982</v>
      </c>
      <c r="F63" s="36">
        <v>162.9</v>
      </c>
      <c r="G63" s="36">
        <v>163.5</v>
      </c>
      <c r="H63" s="36">
        <v>163.6</v>
      </c>
      <c r="I63" s="36">
        <v>163.80000000000001</v>
      </c>
      <c r="J63" s="36">
        <v>164.1</v>
      </c>
      <c r="K63" s="36">
        <v>167.6</v>
      </c>
      <c r="L63" s="36">
        <v>166.8</v>
      </c>
      <c r="M63" s="36">
        <v>167.2</v>
      </c>
      <c r="N63" s="36">
        <v>167.5</v>
      </c>
      <c r="O63" s="36">
        <v>168.5</v>
      </c>
      <c r="P63" s="36">
        <v>169</v>
      </c>
      <c r="Q63" s="36">
        <v>169.3</v>
      </c>
      <c r="R63" s="36">
        <v>169.7</v>
      </c>
      <c r="S63" s="36">
        <v>169.9</v>
      </c>
      <c r="T63" s="36">
        <v>170.3</v>
      </c>
      <c r="U63" s="36">
        <v>170.6</v>
      </c>
      <c r="V63" s="36">
        <v>170.9</v>
      </c>
      <c r="W63" s="36">
        <v>171.8</v>
      </c>
      <c r="X63" s="36">
        <v>172.6</v>
      </c>
      <c r="Y63" s="36">
        <v>174.7</v>
      </c>
      <c r="Z63" s="36">
        <v>175.7</v>
      </c>
      <c r="AA63" s="36">
        <v>176.2</v>
      </c>
      <c r="AB63" s="36">
        <v>176.5</v>
      </c>
      <c r="AC63" s="36">
        <v>176.9</v>
      </c>
      <c r="AD63" s="36">
        <v>177.3</v>
      </c>
      <c r="AE63" s="36">
        <v>177.8</v>
      </c>
      <c r="AF63" s="36">
        <v>178.5</v>
      </c>
      <c r="AG63" s="36">
        <v>178.5</v>
      </c>
      <c r="AH63" s="36">
        <v>179.4</v>
      </c>
      <c r="AI63" s="36">
        <v>180.3</v>
      </c>
    </row>
    <row r="64" spans="3:35" x14ac:dyDescent="0.35">
      <c r="C64" s="36" t="s">
        <v>60</v>
      </c>
      <c r="D64" s="36" t="s">
        <v>101</v>
      </c>
      <c r="E64" s="121">
        <f t="shared" si="1"/>
        <v>0.45220258722207213</v>
      </c>
      <c r="F64" s="36">
        <v>156.6</v>
      </c>
      <c r="G64" s="36">
        <v>156.19999999999999</v>
      </c>
      <c r="H64" s="36">
        <v>155.19999999999999</v>
      </c>
      <c r="I64" s="36">
        <v>153.1</v>
      </c>
      <c r="J64" s="36">
        <v>154.6</v>
      </c>
      <c r="K64" s="36">
        <v>159.30000000000001</v>
      </c>
      <c r="L64" s="36">
        <v>159.4</v>
      </c>
      <c r="M64" s="36">
        <v>160.4</v>
      </c>
      <c r="N64" s="36">
        <v>160.30000000000001</v>
      </c>
      <c r="O64" s="36">
        <v>160.19999999999999</v>
      </c>
      <c r="P64" s="36">
        <v>161.1</v>
      </c>
      <c r="Q64" s="36">
        <v>162.4</v>
      </c>
      <c r="R64" s="36">
        <v>162.80000000000001</v>
      </c>
      <c r="S64" s="36">
        <v>163.19999999999999</v>
      </c>
      <c r="T64" s="36">
        <v>164.5</v>
      </c>
      <c r="U64" s="36">
        <v>167.4</v>
      </c>
      <c r="V64" s="36">
        <v>169</v>
      </c>
      <c r="W64" s="36">
        <v>168.5</v>
      </c>
      <c r="X64" s="36">
        <v>169.5</v>
      </c>
      <c r="Y64" s="36">
        <v>169.7</v>
      </c>
      <c r="Z64" s="36">
        <v>171.1</v>
      </c>
      <c r="AA64" s="36">
        <v>170.8</v>
      </c>
      <c r="AB64" s="36">
        <v>172</v>
      </c>
      <c r="AC64" s="36">
        <v>173.4</v>
      </c>
      <c r="AD64" s="36">
        <v>175.7</v>
      </c>
      <c r="AE64" s="36">
        <v>178.4</v>
      </c>
      <c r="AF64" s="36">
        <v>180.7</v>
      </c>
      <c r="AG64" s="36">
        <v>180.7</v>
      </c>
      <c r="AH64" s="36">
        <v>183.8</v>
      </c>
      <c r="AI64" s="36">
        <v>184.9</v>
      </c>
    </row>
    <row r="65" spans="3:35" x14ac:dyDescent="0.35">
      <c r="C65" s="36" t="s">
        <v>28</v>
      </c>
      <c r="D65" s="36" t="s">
        <v>101</v>
      </c>
      <c r="E65" s="121">
        <f t="shared" si="1"/>
        <v>0.57887347995389737</v>
      </c>
      <c r="F65" s="36">
        <v>155.19999999999999</v>
      </c>
      <c r="G65" s="36">
        <v>155.9</v>
      </c>
      <c r="H65" s="36">
        <v>157.19999999999999</v>
      </c>
      <c r="I65" s="36">
        <v>157.30000000000001</v>
      </c>
      <c r="J65" s="36">
        <v>158</v>
      </c>
      <c r="K65" s="36">
        <v>161.1</v>
      </c>
      <c r="L65" s="36">
        <v>161.5</v>
      </c>
      <c r="M65" s="36">
        <v>162.80000000000001</v>
      </c>
      <c r="N65" s="36">
        <v>163.30000000000001</v>
      </c>
      <c r="O65" s="36">
        <v>163.80000000000001</v>
      </c>
      <c r="P65" s="36">
        <v>164.7</v>
      </c>
      <c r="Q65" s="36">
        <v>165.2</v>
      </c>
      <c r="R65" s="36">
        <v>166</v>
      </c>
      <c r="S65" s="36">
        <v>166.6</v>
      </c>
      <c r="T65" s="36">
        <v>167.3</v>
      </c>
      <c r="U65" s="36">
        <v>168.3</v>
      </c>
      <c r="V65" s="36">
        <v>170.2</v>
      </c>
      <c r="W65" s="36">
        <v>170.9</v>
      </c>
      <c r="X65" s="36">
        <v>171</v>
      </c>
      <c r="Y65" s="36">
        <v>171.8</v>
      </c>
      <c r="Z65" s="36">
        <v>172.6</v>
      </c>
      <c r="AA65" s="36">
        <v>173.1</v>
      </c>
      <c r="AB65" s="36">
        <v>173.9</v>
      </c>
      <c r="AC65" s="36">
        <v>174.6</v>
      </c>
      <c r="AD65" s="36">
        <v>175.5</v>
      </c>
      <c r="AE65" s="36">
        <v>176.5</v>
      </c>
      <c r="AF65" s="36">
        <v>177.9</v>
      </c>
      <c r="AG65" s="36">
        <v>177.9</v>
      </c>
      <c r="AH65" s="36">
        <v>178.9</v>
      </c>
      <c r="AI65" s="36">
        <v>179.5</v>
      </c>
    </row>
    <row r="66" spans="3:35" x14ac:dyDescent="0.35">
      <c r="C66" s="53" t="s">
        <v>64</v>
      </c>
      <c r="D66" s="36" t="s">
        <v>101</v>
      </c>
      <c r="E66" s="121">
        <f t="shared" si="1"/>
        <v>0.58256965571643049</v>
      </c>
      <c r="F66" s="36">
        <v>160.69999999999999</v>
      </c>
      <c r="G66" s="36">
        <v>158.5</v>
      </c>
      <c r="H66" s="36">
        <v>156.69999999999999</v>
      </c>
      <c r="I66" s="36">
        <v>156.69999999999999</v>
      </c>
      <c r="J66" s="36">
        <v>157.6</v>
      </c>
      <c r="K66" s="36">
        <v>161.1</v>
      </c>
      <c r="L66" s="36">
        <v>162.1</v>
      </c>
      <c r="M66" s="36">
        <v>163.19999999999999</v>
      </c>
      <c r="N66" s="36">
        <v>163.6</v>
      </c>
      <c r="O66" s="36">
        <v>164</v>
      </c>
      <c r="P66" s="36">
        <v>166.3</v>
      </c>
      <c r="Q66" s="36">
        <v>167.6</v>
      </c>
      <c r="R66" s="36">
        <v>167</v>
      </c>
      <c r="S66" s="36">
        <v>166.4</v>
      </c>
      <c r="T66" s="36">
        <v>166.7</v>
      </c>
      <c r="U66" s="36">
        <v>168.7</v>
      </c>
      <c r="V66" s="36">
        <v>170.8</v>
      </c>
      <c r="W66" s="36">
        <v>172.5</v>
      </c>
      <c r="X66" s="36">
        <v>173.6</v>
      </c>
      <c r="Y66" s="36">
        <v>174.3</v>
      </c>
      <c r="Z66" s="36">
        <v>175.3</v>
      </c>
      <c r="AA66" s="36">
        <v>176.4</v>
      </c>
      <c r="AB66" s="36">
        <v>177.9</v>
      </c>
      <c r="AC66" s="36">
        <v>177.8</v>
      </c>
      <c r="AD66" s="36">
        <v>177.1</v>
      </c>
      <c r="AE66" s="36">
        <v>177.8</v>
      </c>
      <c r="AF66" s="36">
        <v>178</v>
      </c>
      <c r="AG66" s="36">
        <v>178</v>
      </c>
      <c r="AH66" s="36">
        <v>178.8</v>
      </c>
      <c r="AI66" s="36">
        <v>179.8</v>
      </c>
    </row>
    <row r="67" spans="3:35" x14ac:dyDescent="0.35">
      <c r="C67" s="51" t="s">
        <v>59</v>
      </c>
      <c r="D67" s="51" t="s">
        <v>33</v>
      </c>
      <c r="E67" s="121">
        <f t="shared" si="1"/>
        <v>0.30371948157117795</v>
      </c>
      <c r="F67" s="51">
        <v>149</v>
      </c>
      <c r="G67" s="51">
        <v>148</v>
      </c>
      <c r="H67" s="51">
        <v>147.6</v>
      </c>
      <c r="I67" s="51">
        <v>147.5</v>
      </c>
      <c r="J67" s="51">
        <v>147.6</v>
      </c>
      <c r="K67" s="51">
        <v>148.80000000000001</v>
      </c>
      <c r="L67" s="51">
        <v>149.19999999999999</v>
      </c>
      <c r="M67" s="51">
        <v>149.1</v>
      </c>
      <c r="N67" s="51">
        <v>149.30000000000001</v>
      </c>
      <c r="O67" s="51">
        <v>149.30000000000001</v>
      </c>
      <c r="P67" s="51">
        <v>150.1</v>
      </c>
      <c r="Q67" s="51">
        <v>151</v>
      </c>
      <c r="R67" s="51">
        <v>151.6</v>
      </c>
      <c r="S67" s="51">
        <v>152.19999999999999</v>
      </c>
      <c r="T67" s="51">
        <v>152.5</v>
      </c>
      <c r="U67" s="51">
        <v>153.69999999999999</v>
      </c>
      <c r="V67" s="51">
        <v>155.4</v>
      </c>
      <c r="W67" s="51">
        <v>156.69999999999999</v>
      </c>
      <c r="X67" s="51">
        <v>157.5</v>
      </c>
      <c r="Y67" s="51">
        <v>159.30000000000001</v>
      </c>
      <c r="Z67" s="51">
        <v>162.1</v>
      </c>
      <c r="AA67" s="51">
        <v>164.9</v>
      </c>
      <c r="AB67" s="51">
        <v>166.4</v>
      </c>
      <c r="AC67" s="51">
        <v>168.4</v>
      </c>
      <c r="AD67" s="51">
        <v>170.2</v>
      </c>
      <c r="AE67" s="51">
        <v>173.3</v>
      </c>
      <c r="AF67" s="51">
        <v>174.7</v>
      </c>
      <c r="AG67" s="51">
        <v>174.7</v>
      </c>
      <c r="AH67" s="51">
        <v>174.8</v>
      </c>
      <c r="AI67" s="51">
        <v>174.7</v>
      </c>
    </row>
    <row r="68" spans="3:35" x14ac:dyDescent="0.35">
      <c r="C68" s="51" t="s">
        <v>59</v>
      </c>
      <c r="D68" s="51" t="s">
        <v>33</v>
      </c>
      <c r="E68" s="121">
        <f t="shared" si="1"/>
        <v>0.79172618845643261</v>
      </c>
      <c r="F68" s="51">
        <v>195.7</v>
      </c>
      <c r="G68" s="51">
        <v>194.8</v>
      </c>
      <c r="H68" s="51">
        <v>191.2</v>
      </c>
      <c r="I68" s="51">
        <v>197.5</v>
      </c>
      <c r="J68" s="51">
        <v>202.5</v>
      </c>
      <c r="K68" s="51">
        <v>204.3</v>
      </c>
      <c r="L68" s="51">
        <v>205.5</v>
      </c>
      <c r="M68" s="51">
        <v>210.9</v>
      </c>
      <c r="N68" s="51">
        <v>207.4</v>
      </c>
      <c r="O68" s="51">
        <v>207.4</v>
      </c>
      <c r="P68" s="51">
        <v>208.4</v>
      </c>
      <c r="Q68" s="51">
        <v>204.9</v>
      </c>
      <c r="R68" s="51">
        <v>202.2</v>
      </c>
      <c r="S68" s="51">
        <v>202.1</v>
      </c>
      <c r="T68" s="51">
        <v>205.2</v>
      </c>
      <c r="U68" s="51">
        <v>215.8</v>
      </c>
      <c r="V68" s="51">
        <v>215.8</v>
      </c>
      <c r="W68" s="51">
        <v>221.2</v>
      </c>
      <c r="X68" s="51">
        <v>223.4</v>
      </c>
      <c r="Y68" s="51">
        <v>217.1</v>
      </c>
      <c r="Z68" s="51">
        <v>210.9</v>
      </c>
      <c r="AA68" s="51">
        <v>213.7</v>
      </c>
      <c r="AB68" s="51">
        <v>214.9</v>
      </c>
      <c r="AC68" s="51">
        <v>213.4</v>
      </c>
      <c r="AD68" s="51">
        <v>212.9</v>
      </c>
      <c r="AE68" s="51">
        <v>215.2</v>
      </c>
      <c r="AF68" s="51">
        <v>212.2</v>
      </c>
      <c r="AG68" s="51">
        <v>212.2</v>
      </c>
      <c r="AH68" s="51">
        <v>213.7</v>
      </c>
      <c r="AI68" s="51">
        <v>219.4</v>
      </c>
    </row>
    <row r="69" spans="3:35" x14ac:dyDescent="0.35">
      <c r="C69" s="51" t="s">
        <v>59</v>
      </c>
      <c r="D69" s="51" t="s">
        <v>33</v>
      </c>
      <c r="E69" s="121">
        <f t="shared" si="1"/>
        <v>-0.23731735772482815</v>
      </c>
      <c r="F69" s="51">
        <v>178.3</v>
      </c>
      <c r="G69" s="51">
        <v>178.4</v>
      </c>
      <c r="H69" s="51">
        <v>169.9</v>
      </c>
      <c r="I69" s="51">
        <v>164.7</v>
      </c>
      <c r="J69" s="51">
        <v>166.4</v>
      </c>
      <c r="K69" s="51">
        <v>173</v>
      </c>
      <c r="L69" s="51">
        <v>182.8</v>
      </c>
      <c r="M69" s="51">
        <v>185</v>
      </c>
      <c r="N69" s="51">
        <v>174.1</v>
      </c>
      <c r="O69" s="51">
        <v>174.1</v>
      </c>
      <c r="P69" s="51">
        <v>173</v>
      </c>
      <c r="Q69" s="51">
        <v>175.4</v>
      </c>
      <c r="R69" s="51">
        <v>180</v>
      </c>
      <c r="S69" s="51">
        <v>180.1</v>
      </c>
      <c r="T69" s="51">
        <v>176.4</v>
      </c>
      <c r="U69" s="51">
        <v>167.7</v>
      </c>
      <c r="V69" s="51">
        <v>164.6</v>
      </c>
      <c r="W69" s="51">
        <v>164.1</v>
      </c>
      <c r="X69" s="51">
        <v>172.8</v>
      </c>
      <c r="Y69" s="51">
        <v>176.6</v>
      </c>
      <c r="Z69" s="51">
        <v>170.6</v>
      </c>
      <c r="AA69" s="51">
        <v>170.9</v>
      </c>
      <c r="AB69" s="51">
        <v>171.9</v>
      </c>
      <c r="AC69" s="51">
        <v>183.2</v>
      </c>
      <c r="AD69" s="51">
        <v>191.9</v>
      </c>
      <c r="AE69" s="51">
        <v>197</v>
      </c>
      <c r="AF69" s="51">
        <v>177.2</v>
      </c>
      <c r="AG69" s="51">
        <v>177.2</v>
      </c>
      <c r="AH69" s="51">
        <v>172.4</v>
      </c>
      <c r="AI69" s="51">
        <v>176.7</v>
      </c>
    </row>
    <row r="70" spans="3:35" x14ac:dyDescent="0.35">
      <c r="C70" s="51" t="s">
        <v>59</v>
      </c>
      <c r="D70" s="51" t="s">
        <v>33</v>
      </c>
      <c r="E70" s="121">
        <f t="shared" si="1"/>
        <v>0.40436838119161633</v>
      </c>
      <c r="F70" s="51">
        <v>154.19999999999999</v>
      </c>
      <c r="G70" s="51">
        <v>154.4</v>
      </c>
      <c r="H70" s="51">
        <v>155.1</v>
      </c>
      <c r="I70" s="51">
        <v>155.6</v>
      </c>
      <c r="J70" s="51">
        <v>156</v>
      </c>
      <c r="K70" s="51">
        <v>156.5</v>
      </c>
      <c r="L70" s="51">
        <v>156.5</v>
      </c>
      <c r="M70" s="51">
        <v>158.19999999999999</v>
      </c>
      <c r="N70" s="51">
        <v>159.19999999999999</v>
      </c>
      <c r="O70" s="51">
        <v>159.1</v>
      </c>
      <c r="P70" s="51">
        <v>159.19999999999999</v>
      </c>
      <c r="Q70" s="51">
        <v>159.6</v>
      </c>
      <c r="R70" s="51">
        <v>160</v>
      </c>
      <c r="S70" s="51">
        <v>160.4</v>
      </c>
      <c r="T70" s="51">
        <v>160.6</v>
      </c>
      <c r="U70" s="51">
        <v>162.6</v>
      </c>
      <c r="V70" s="51">
        <v>164.2</v>
      </c>
      <c r="W70" s="51">
        <v>165.4</v>
      </c>
      <c r="X70" s="51">
        <v>166.4</v>
      </c>
      <c r="Y70" s="51">
        <v>167.1</v>
      </c>
      <c r="Z70" s="51">
        <v>168.4</v>
      </c>
      <c r="AA70" s="51">
        <v>170.1</v>
      </c>
      <c r="AB70" s="51">
        <v>171</v>
      </c>
      <c r="AC70" s="51">
        <v>172.3</v>
      </c>
      <c r="AD70" s="51">
        <v>173.9</v>
      </c>
      <c r="AE70" s="51">
        <v>175.2</v>
      </c>
      <c r="AF70" s="51">
        <v>177.9</v>
      </c>
      <c r="AG70" s="51">
        <v>177.9</v>
      </c>
      <c r="AH70" s="51">
        <v>178.8</v>
      </c>
      <c r="AI70" s="51">
        <v>179.4</v>
      </c>
    </row>
    <row r="71" spans="3:35" x14ac:dyDescent="0.35">
      <c r="C71" s="51" t="s">
        <v>59</v>
      </c>
      <c r="D71" s="51" t="s">
        <v>33</v>
      </c>
      <c r="E71" s="121">
        <f t="shared" si="1"/>
        <v>0.85087883524588193</v>
      </c>
      <c r="F71" s="51">
        <v>140.69999999999999</v>
      </c>
      <c r="G71" s="51">
        <v>144.1</v>
      </c>
      <c r="H71" s="51">
        <v>151.4</v>
      </c>
      <c r="I71" s="51">
        <v>156.4</v>
      </c>
      <c r="J71" s="51">
        <v>161.4</v>
      </c>
      <c r="K71" s="51">
        <v>168.8</v>
      </c>
      <c r="L71" s="51">
        <v>172.2</v>
      </c>
      <c r="M71" s="51">
        <v>170.6</v>
      </c>
      <c r="N71" s="51">
        <v>175</v>
      </c>
      <c r="O71" s="51">
        <v>175</v>
      </c>
      <c r="P71" s="51">
        <v>176.6</v>
      </c>
      <c r="Q71" s="51">
        <v>175.8</v>
      </c>
      <c r="R71" s="51">
        <v>173.5</v>
      </c>
      <c r="S71" s="51">
        <v>171</v>
      </c>
      <c r="T71" s="51">
        <v>171.5</v>
      </c>
      <c r="U71" s="51">
        <v>180</v>
      </c>
      <c r="V71" s="51">
        <v>186</v>
      </c>
      <c r="W71" s="51">
        <v>189.5</v>
      </c>
      <c r="X71" s="51">
        <v>188.6</v>
      </c>
      <c r="Y71" s="51">
        <v>184.8</v>
      </c>
      <c r="Z71" s="51">
        <v>182.5</v>
      </c>
      <c r="AA71" s="51">
        <v>179.3</v>
      </c>
      <c r="AB71" s="51">
        <v>177.7</v>
      </c>
      <c r="AC71" s="51">
        <v>180</v>
      </c>
      <c r="AD71" s="51">
        <v>179.1</v>
      </c>
      <c r="AE71" s="51">
        <v>178</v>
      </c>
      <c r="AF71" s="51">
        <v>172.2</v>
      </c>
      <c r="AG71" s="51">
        <v>172.2</v>
      </c>
      <c r="AH71" s="51">
        <v>168.7</v>
      </c>
      <c r="AI71" s="51">
        <v>164.4</v>
      </c>
    </row>
    <row r="72" spans="3:35" x14ac:dyDescent="0.35">
      <c r="C72" s="51" t="s">
        <v>59</v>
      </c>
      <c r="D72" s="51" t="s">
        <v>33</v>
      </c>
      <c r="E72" s="121">
        <f t="shared" si="1"/>
        <v>0.48999581981511275</v>
      </c>
      <c r="F72" s="51">
        <v>149.69999999999999</v>
      </c>
      <c r="G72" s="51">
        <v>152.6</v>
      </c>
      <c r="H72" s="51">
        <v>154</v>
      </c>
      <c r="I72" s="51">
        <v>157.30000000000001</v>
      </c>
      <c r="J72" s="51">
        <v>168.8</v>
      </c>
      <c r="K72" s="51">
        <v>172.5</v>
      </c>
      <c r="L72" s="51">
        <v>171.5</v>
      </c>
      <c r="M72" s="51">
        <v>170.9</v>
      </c>
      <c r="N72" s="51">
        <v>161.30000000000001</v>
      </c>
      <c r="O72" s="51">
        <v>161.19999999999999</v>
      </c>
      <c r="P72" s="51">
        <v>159.30000000000001</v>
      </c>
      <c r="Q72" s="51">
        <v>160.30000000000001</v>
      </c>
      <c r="R72" s="51">
        <v>158.30000000000001</v>
      </c>
      <c r="S72" s="51">
        <v>156.5</v>
      </c>
      <c r="T72" s="51">
        <v>156.4</v>
      </c>
      <c r="U72" s="51">
        <v>159.6</v>
      </c>
      <c r="V72" s="51">
        <v>175.9</v>
      </c>
      <c r="W72" s="51">
        <v>174.5</v>
      </c>
      <c r="X72" s="51">
        <v>174.1</v>
      </c>
      <c r="Y72" s="51">
        <v>179.5</v>
      </c>
      <c r="Z72" s="51">
        <v>177.1</v>
      </c>
      <c r="AA72" s="51">
        <v>167.5</v>
      </c>
      <c r="AB72" s="51">
        <v>165.7</v>
      </c>
      <c r="AC72" s="51">
        <v>162.6</v>
      </c>
      <c r="AD72" s="51">
        <v>159.5</v>
      </c>
      <c r="AE72" s="51">
        <v>160.5</v>
      </c>
      <c r="AF72" s="51">
        <v>172.1</v>
      </c>
      <c r="AG72" s="51">
        <v>172.1</v>
      </c>
      <c r="AH72" s="51">
        <v>179.2</v>
      </c>
      <c r="AI72" s="51">
        <v>175.8</v>
      </c>
    </row>
    <row r="73" spans="3:35" x14ac:dyDescent="0.35">
      <c r="C73" s="51" t="s">
        <v>59</v>
      </c>
      <c r="D73" s="51" t="s">
        <v>33</v>
      </c>
      <c r="E73" s="121">
        <f t="shared" si="1"/>
        <v>0.22272097876898581</v>
      </c>
      <c r="F73" s="51">
        <v>240.9</v>
      </c>
      <c r="G73" s="51">
        <v>206.8</v>
      </c>
      <c r="H73" s="51">
        <v>180.2</v>
      </c>
      <c r="I73" s="51">
        <v>166.1</v>
      </c>
      <c r="J73" s="51">
        <v>161.6</v>
      </c>
      <c r="K73" s="51">
        <v>166.5</v>
      </c>
      <c r="L73" s="51">
        <v>176.2</v>
      </c>
      <c r="M73" s="51">
        <v>186.4</v>
      </c>
      <c r="N73" s="51">
        <v>183.3</v>
      </c>
      <c r="O73" s="51">
        <v>183.5</v>
      </c>
      <c r="P73" s="51">
        <v>214.4</v>
      </c>
      <c r="Q73" s="51">
        <v>229.1</v>
      </c>
      <c r="R73" s="51">
        <v>219.5</v>
      </c>
      <c r="S73" s="51">
        <v>203.6</v>
      </c>
      <c r="T73" s="51">
        <v>198</v>
      </c>
      <c r="U73" s="51">
        <v>188.4</v>
      </c>
      <c r="V73" s="51">
        <v>190.7</v>
      </c>
      <c r="W73" s="51">
        <v>203.2</v>
      </c>
      <c r="X73" s="51">
        <v>211.5</v>
      </c>
      <c r="Y73" s="51">
        <v>208.5</v>
      </c>
      <c r="Z73" s="51">
        <v>213.1</v>
      </c>
      <c r="AA73" s="51">
        <v>220.8</v>
      </c>
      <c r="AB73" s="51">
        <v>228.6</v>
      </c>
      <c r="AC73" s="51">
        <v>205.5</v>
      </c>
      <c r="AD73" s="51">
        <v>178.7</v>
      </c>
      <c r="AE73" s="51">
        <v>175.3</v>
      </c>
      <c r="AF73" s="51">
        <v>175.8</v>
      </c>
      <c r="AG73" s="51">
        <v>175.9</v>
      </c>
      <c r="AH73" s="51">
        <v>179.9</v>
      </c>
      <c r="AI73" s="51">
        <v>185</v>
      </c>
    </row>
    <row r="74" spans="3:35" x14ac:dyDescent="0.35">
      <c r="C74" s="51" t="s">
        <v>59</v>
      </c>
      <c r="D74" s="51" t="s">
        <v>33</v>
      </c>
      <c r="E74" s="121">
        <f t="shared" si="1"/>
        <v>0.11593182194368562</v>
      </c>
      <c r="F74" s="51">
        <v>161.5</v>
      </c>
      <c r="G74" s="51">
        <v>162.1</v>
      </c>
      <c r="H74" s="51">
        <v>159.80000000000001</v>
      </c>
      <c r="I74" s="51">
        <v>161.1</v>
      </c>
      <c r="J74" s="51">
        <v>162.80000000000001</v>
      </c>
      <c r="K74" s="51">
        <v>165.9</v>
      </c>
      <c r="L74" s="51">
        <v>166.9</v>
      </c>
      <c r="M74" s="51">
        <v>164.7</v>
      </c>
      <c r="N74" s="51">
        <v>164.5</v>
      </c>
      <c r="O74" s="51">
        <v>164.5</v>
      </c>
      <c r="P74" s="51">
        <v>165.3</v>
      </c>
      <c r="Q74" s="51">
        <v>165.1</v>
      </c>
      <c r="R74" s="51">
        <v>164.2</v>
      </c>
      <c r="S74" s="51">
        <v>163.80000000000001</v>
      </c>
      <c r="T74" s="51">
        <v>163.19999999999999</v>
      </c>
      <c r="U74" s="51">
        <v>163.4</v>
      </c>
      <c r="V74" s="51">
        <v>164</v>
      </c>
      <c r="W74" s="51">
        <v>164.1</v>
      </c>
      <c r="X74" s="51">
        <v>163.6</v>
      </c>
      <c r="Y74" s="51">
        <v>164</v>
      </c>
      <c r="Z74" s="51">
        <v>167.3</v>
      </c>
      <c r="AA74" s="51">
        <v>169.2</v>
      </c>
      <c r="AB74" s="51">
        <v>169.9</v>
      </c>
      <c r="AC74" s="51">
        <v>171</v>
      </c>
      <c r="AD74" s="51">
        <v>171.3</v>
      </c>
      <c r="AE74" s="51">
        <v>171.2</v>
      </c>
      <c r="AF74" s="51">
        <v>172.2</v>
      </c>
      <c r="AG74" s="51">
        <v>172.2</v>
      </c>
      <c r="AH74" s="51">
        <v>174.7</v>
      </c>
      <c r="AI74" s="51">
        <v>176.9</v>
      </c>
    </row>
    <row r="75" spans="3:35" x14ac:dyDescent="0.35">
      <c r="C75" s="51" t="s">
        <v>59</v>
      </c>
      <c r="D75" s="51" t="s">
        <v>33</v>
      </c>
      <c r="E75" s="121">
        <f t="shared" si="1"/>
        <v>0.55172202475198495</v>
      </c>
      <c r="F75" s="51">
        <v>117.1</v>
      </c>
      <c r="G75" s="51">
        <v>116.3</v>
      </c>
      <c r="H75" s="51">
        <v>114.9</v>
      </c>
      <c r="I75" s="51">
        <v>114.3</v>
      </c>
      <c r="J75" s="51">
        <v>114.8</v>
      </c>
      <c r="K75" s="51">
        <v>115.9</v>
      </c>
      <c r="L75" s="51">
        <v>116.1</v>
      </c>
      <c r="M75" s="51">
        <v>115.7</v>
      </c>
      <c r="N75" s="51">
        <v>120.4</v>
      </c>
      <c r="O75" s="51">
        <v>120.4</v>
      </c>
      <c r="P75" s="51">
        <v>122.5</v>
      </c>
      <c r="Q75" s="51">
        <v>123.1</v>
      </c>
      <c r="R75" s="51">
        <v>121.9</v>
      </c>
      <c r="S75" s="51">
        <v>121.3</v>
      </c>
      <c r="T75" s="51">
        <v>120.6</v>
      </c>
      <c r="U75" s="51">
        <v>120.3</v>
      </c>
      <c r="V75" s="51">
        <v>120.5</v>
      </c>
      <c r="W75" s="51">
        <v>121.2</v>
      </c>
      <c r="X75" s="51">
        <v>121.4</v>
      </c>
      <c r="Y75" s="51">
        <v>121.5</v>
      </c>
      <c r="Z75" s="51">
        <v>122.2</v>
      </c>
      <c r="AA75" s="51">
        <v>123.1</v>
      </c>
      <c r="AB75" s="51">
        <v>123.4</v>
      </c>
      <c r="AC75" s="51">
        <v>123.4</v>
      </c>
      <c r="AD75" s="51">
        <v>123.1</v>
      </c>
      <c r="AE75" s="51">
        <v>122.7</v>
      </c>
      <c r="AF75" s="51">
        <v>121.9</v>
      </c>
      <c r="AG75" s="51">
        <v>121.9</v>
      </c>
      <c r="AH75" s="51">
        <v>123.1</v>
      </c>
      <c r="AI75" s="51">
        <v>124.2</v>
      </c>
    </row>
    <row r="76" spans="3:35" x14ac:dyDescent="0.35">
      <c r="C76" s="51" t="s">
        <v>59</v>
      </c>
      <c r="D76" s="51" t="s">
        <v>33</v>
      </c>
      <c r="E76" s="121">
        <f t="shared" si="1"/>
        <v>0.37810898339753612</v>
      </c>
      <c r="F76" s="51">
        <v>161.9</v>
      </c>
      <c r="G76" s="51">
        <v>163</v>
      </c>
      <c r="H76" s="51">
        <v>162.5</v>
      </c>
      <c r="I76" s="51">
        <v>162.6</v>
      </c>
      <c r="J76" s="51">
        <v>162.80000000000001</v>
      </c>
      <c r="K76" s="51">
        <v>165.2</v>
      </c>
      <c r="L76" s="51">
        <v>165.5</v>
      </c>
      <c r="M76" s="51">
        <v>165.5</v>
      </c>
      <c r="N76" s="51">
        <v>166.2</v>
      </c>
      <c r="O76" s="51">
        <v>166.2</v>
      </c>
      <c r="P76" s="51">
        <v>166.8</v>
      </c>
      <c r="Q76" s="51">
        <v>167.2</v>
      </c>
      <c r="R76" s="51">
        <v>168.2</v>
      </c>
      <c r="S76" s="51">
        <v>169.8</v>
      </c>
      <c r="T76" s="51">
        <v>172.2</v>
      </c>
      <c r="U76" s="51">
        <v>174.7</v>
      </c>
      <c r="V76" s="51">
        <v>178</v>
      </c>
      <c r="W76" s="51">
        <v>181.4</v>
      </c>
      <c r="X76" s="51">
        <v>183.5</v>
      </c>
      <c r="Y76" s="51">
        <v>186.3</v>
      </c>
      <c r="Z76" s="51">
        <v>189.7</v>
      </c>
      <c r="AA76" s="51">
        <v>193.6</v>
      </c>
      <c r="AB76" s="51">
        <v>196.4</v>
      </c>
      <c r="AC76" s="51">
        <v>198.8</v>
      </c>
      <c r="AD76" s="51">
        <v>200.5</v>
      </c>
      <c r="AE76" s="51">
        <v>204.3</v>
      </c>
      <c r="AF76" s="51">
        <v>204.8</v>
      </c>
      <c r="AG76" s="51">
        <v>204.8</v>
      </c>
      <c r="AH76" s="51">
        <v>207.8</v>
      </c>
      <c r="AI76" s="51">
        <v>211.9</v>
      </c>
    </row>
    <row r="77" spans="3:35" x14ac:dyDescent="0.35">
      <c r="C77" s="51" t="s">
        <v>59</v>
      </c>
      <c r="D77" s="51" t="s">
        <v>33</v>
      </c>
      <c r="E77" s="121">
        <f t="shared" si="1"/>
        <v>0.562785992120163</v>
      </c>
      <c r="F77" s="51">
        <v>143.30000000000001</v>
      </c>
      <c r="G77" s="51">
        <v>145.9</v>
      </c>
      <c r="H77" s="51">
        <v>149.19999999999999</v>
      </c>
      <c r="I77" s="51">
        <v>150.69999999999999</v>
      </c>
      <c r="J77" s="51">
        <v>151.5</v>
      </c>
      <c r="K77" s="51">
        <v>152</v>
      </c>
      <c r="L77" s="51">
        <v>152.30000000000001</v>
      </c>
      <c r="M77" s="51">
        <v>153.4</v>
      </c>
      <c r="N77" s="51">
        <v>154.80000000000001</v>
      </c>
      <c r="O77" s="51">
        <v>154.80000000000001</v>
      </c>
      <c r="P77" s="51">
        <v>155.4</v>
      </c>
      <c r="Q77" s="51">
        <v>156.1</v>
      </c>
      <c r="R77" s="51">
        <v>156.5</v>
      </c>
      <c r="S77" s="51">
        <v>156.6</v>
      </c>
      <c r="T77" s="51">
        <v>156.69999999999999</v>
      </c>
      <c r="U77" s="51">
        <v>157.1</v>
      </c>
      <c r="V77" s="51">
        <v>157.5</v>
      </c>
      <c r="W77" s="51">
        <v>158.5</v>
      </c>
      <c r="X77" s="51">
        <v>159.1</v>
      </c>
      <c r="Y77" s="51">
        <v>159.80000000000001</v>
      </c>
      <c r="Z77" s="51">
        <v>160.5</v>
      </c>
      <c r="AA77" s="51">
        <v>161.1</v>
      </c>
      <c r="AB77" s="51">
        <v>161.6</v>
      </c>
      <c r="AC77" s="51">
        <v>162.1</v>
      </c>
      <c r="AD77" s="51">
        <v>162.80000000000001</v>
      </c>
      <c r="AE77" s="51">
        <v>163.69999999999999</v>
      </c>
      <c r="AF77" s="51">
        <v>164.9</v>
      </c>
      <c r="AG77" s="51">
        <v>164.9</v>
      </c>
      <c r="AH77" s="51">
        <v>165.5</v>
      </c>
      <c r="AI77" s="51">
        <v>165.9</v>
      </c>
    </row>
    <row r="78" spans="3:35" x14ac:dyDescent="0.35">
      <c r="C78" s="51" t="s">
        <v>59</v>
      </c>
      <c r="D78" s="51" t="s">
        <v>33</v>
      </c>
      <c r="E78" s="121">
        <f t="shared" ref="E78:E93" si="2">CORREL(F78:AI78,$F$9:$AI$9)</f>
        <v>0.53089156636749235</v>
      </c>
      <c r="F78" s="51">
        <v>166.1</v>
      </c>
      <c r="G78" s="51">
        <v>167.2</v>
      </c>
      <c r="H78" s="51">
        <v>169.4</v>
      </c>
      <c r="I78" s="51">
        <v>170.3</v>
      </c>
      <c r="J78" s="51">
        <v>171.4</v>
      </c>
      <c r="K78" s="51">
        <v>171.1</v>
      </c>
      <c r="L78" s="51">
        <v>173.3</v>
      </c>
      <c r="M78" s="51">
        <v>173.5</v>
      </c>
      <c r="N78" s="51">
        <v>175.1</v>
      </c>
      <c r="O78" s="51">
        <v>175.1</v>
      </c>
      <c r="P78" s="51">
        <v>175.9</v>
      </c>
      <c r="Q78" s="51">
        <v>176.8</v>
      </c>
      <c r="R78" s="51">
        <v>178.2</v>
      </c>
      <c r="S78" s="51">
        <v>179</v>
      </c>
      <c r="T78" s="51">
        <v>180</v>
      </c>
      <c r="U78" s="51">
        <v>181.5</v>
      </c>
      <c r="V78" s="51">
        <v>183.3</v>
      </c>
      <c r="W78" s="51">
        <v>184.9</v>
      </c>
      <c r="X78" s="51">
        <v>186.3</v>
      </c>
      <c r="Y78" s="51">
        <v>187.7</v>
      </c>
      <c r="Z78" s="51">
        <v>188.9</v>
      </c>
      <c r="AA78" s="51">
        <v>190.4</v>
      </c>
      <c r="AB78" s="51">
        <v>191.5</v>
      </c>
      <c r="AC78" s="51">
        <v>192.4</v>
      </c>
      <c r="AD78" s="51">
        <v>193.3</v>
      </c>
      <c r="AE78" s="51">
        <v>194.3</v>
      </c>
      <c r="AF78" s="51">
        <v>196.6</v>
      </c>
      <c r="AG78" s="51">
        <v>196.6</v>
      </c>
      <c r="AH78" s="51">
        <v>197</v>
      </c>
      <c r="AI78" s="51">
        <v>197.7</v>
      </c>
    </row>
    <row r="79" spans="3:35" x14ac:dyDescent="0.35">
      <c r="C79" s="51" t="s">
        <v>59</v>
      </c>
      <c r="D79" s="51" t="s">
        <v>33</v>
      </c>
      <c r="E79" s="121">
        <f t="shared" si="2"/>
        <v>0.60498220069370512</v>
      </c>
      <c r="F79" s="51">
        <v>167</v>
      </c>
      <c r="G79" s="51">
        <v>163.4</v>
      </c>
      <c r="H79" s="51">
        <v>160.80000000000001</v>
      </c>
      <c r="I79" s="51">
        <v>160.4</v>
      </c>
      <c r="J79" s="51">
        <v>162</v>
      </c>
      <c r="K79" s="51">
        <v>164.2</v>
      </c>
      <c r="L79" s="51">
        <v>166.2</v>
      </c>
      <c r="M79" s="51">
        <v>167.9</v>
      </c>
      <c r="N79" s="51">
        <v>167.3</v>
      </c>
      <c r="O79" s="51">
        <v>167.3</v>
      </c>
      <c r="P79" s="51">
        <v>171.5</v>
      </c>
      <c r="Q79" s="51">
        <v>173.5</v>
      </c>
      <c r="R79" s="51">
        <v>172.2</v>
      </c>
      <c r="S79" s="51">
        <v>170.3</v>
      </c>
      <c r="T79" s="51">
        <v>170.2</v>
      </c>
      <c r="U79" s="51">
        <v>171.5</v>
      </c>
      <c r="V79" s="51">
        <v>174.5</v>
      </c>
      <c r="W79" s="51">
        <v>177.5</v>
      </c>
      <c r="X79" s="51">
        <v>179.3</v>
      </c>
      <c r="Y79" s="51">
        <v>179.4</v>
      </c>
      <c r="Z79" s="51">
        <v>180.4</v>
      </c>
      <c r="AA79" s="51">
        <v>181.8</v>
      </c>
      <c r="AB79" s="51">
        <v>183.3</v>
      </c>
      <c r="AC79" s="51">
        <v>181.3</v>
      </c>
      <c r="AD79" s="51">
        <v>178.6</v>
      </c>
      <c r="AE79" s="51">
        <v>179.5</v>
      </c>
      <c r="AF79" s="51">
        <v>180.7</v>
      </c>
      <c r="AG79" s="51">
        <v>180.8</v>
      </c>
      <c r="AH79" s="51">
        <v>182.1</v>
      </c>
      <c r="AI79" s="51">
        <v>183.1</v>
      </c>
    </row>
    <row r="80" spans="3:35" x14ac:dyDescent="0.35">
      <c r="C80" s="51" t="s">
        <v>60</v>
      </c>
      <c r="D80" s="51" t="s">
        <v>33</v>
      </c>
      <c r="E80" s="121">
        <f t="shared" si="2"/>
        <v>0.42653604346199636</v>
      </c>
      <c r="F80" s="51">
        <v>190.2</v>
      </c>
      <c r="G80" s="51">
        <v>191.8</v>
      </c>
      <c r="H80" s="51">
        <v>193.3</v>
      </c>
      <c r="I80" s="51">
        <v>193.5</v>
      </c>
      <c r="J80" s="51">
        <v>194.4</v>
      </c>
      <c r="K80" s="51">
        <v>198.2</v>
      </c>
      <c r="L80" s="51">
        <v>195.6</v>
      </c>
      <c r="M80" s="51">
        <v>195.5</v>
      </c>
      <c r="N80" s="51">
        <v>196.5</v>
      </c>
      <c r="O80" s="51">
        <v>196.5</v>
      </c>
      <c r="P80" s="51">
        <v>197</v>
      </c>
      <c r="Q80" s="51">
        <v>197</v>
      </c>
      <c r="R80" s="51">
        <v>196.8</v>
      </c>
      <c r="S80" s="51">
        <v>196.4</v>
      </c>
      <c r="T80" s="51">
        <v>196.5</v>
      </c>
      <c r="U80" s="51">
        <v>197.5</v>
      </c>
      <c r="V80" s="51">
        <v>197.1</v>
      </c>
      <c r="W80" s="51">
        <v>197.5</v>
      </c>
      <c r="X80" s="51">
        <v>198.3</v>
      </c>
      <c r="Y80" s="51">
        <v>198.6</v>
      </c>
      <c r="Z80" s="51">
        <v>198.7</v>
      </c>
      <c r="AA80" s="51">
        <v>199.7</v>
      </c>
      <c r="AB80" s="51">
        <v>200.1</v>
      </c>
      <c r="AC80" s="51">
        <v>200.6</v>
      </c>
      <c r="AD80" s="51">
        <v>201.1</v>
      </c>
      <c r="AE80" s="51">
        <v>201.6</v>
      </c>
      <c r="AF80" s="51">
        <v>202.7</v>
      </c>
      <c r="AG80" s="51">
        <v>202.7</v>
      </c>
      <c r="AH80" s="51">
        <v>203.5</v>
      </c>
      <c r="AI80" s="51">
        <v>204.2</v>
      </c>
    </row>
    <row r="81" spans="3:35" x14ac:dyDescent="0.35">
      <c r="C81" s="51" t="s">
        <v>61</v>
      </c>
      <c r="D81" s="51" t="s">
        <v>33</v>
      </c>
      <c r="E81" s="121">
        <f t="shared" si="2"/>
        <v>0.55849501489926234</v>
      </c>
      <c r="F81" s="51">
        <v>151.9</v>
      </c>
      <c r="G81" s="51">
        <v>152.5</v>
      </c>
      <c r="H81" s="51">
        <v>154.19999999999999</v>
      </c>
      <c r="I81" s="51">
        <v>155.1</v>
      </c>
      <c r="J81" s="51">
        <v>155.9</v>
      </c>
      <c r="K81" s="51">
        <v>156.5</v>
      </c>
      <c r="L81" s="51">
        <v>157.30000000000001</v>
      </c>
      <c r="M81" s="51">
        <v>157.9</v>
      </c>
      <c r="N81" s="51">
        <v>159.80000000000001</v>
      </c>
      <c r="O81" s="51">
        <v>159.80000000000001</v>
      </c>
      <c r="P81" s="51">
        <v>160.80000000000001</v>
      </c>
      <c r="Q81" s="51">
        <v>162.30000000000001</v>
      </c>
      <c r="R81" s="51">
        <v>163.30000000000001</v>
      </c>
      <c r="S81" s="51">
        <v>164.7</v>
      </c>
      <c r="T81" s="51">
        <v>165.7</v>
      </c>
      <c r="U81" s="51">
        <v>167.1</v>
      </c>
      <c r="V81" s="51">
        <v>168.4</v>
      </c>
      <c r="W81" s="51">
        <v>170</v>
      </c>
      <c r="X81" s="51">
        <v>171.6</v>
      </c>
      <c r="Y81" s="51">
        <v>172.7</v>
      </c>
      <c r="Z81" s="51">
        <v>173.7</v>
      </c>
      <c r="AA81" s="51">
        <v>175</v>
      </c>
      <c r="AB81" s="51">
        <v>175.5</v>
      </c>
      <c r="AC81" s="51">
        <v>176.7</v>
      </c>
      <c r="AD81" s="51">
        <v>177.7</v>
      </c>
      <c r="AE81" s="51">
        <v>178.7</v>
      </c>
      <c r="AF81" s="51">
        <v>180.3</v>
      </c>
      <c r="AG81" s="51">
        <v>180.2</v>
      </c>
      <c r="AH81" s="51">
        <v>181</v>
      </c>
      <c r="AI81" s="51">
        <v>181.3</v>
      </c>
    </row>
    <row r="82" spans="3:35" x14ac:dyDescent="0.35">
      <c r="C82" s="51" t="s">
        <v>61</v>
      </c>
      <c r="D82" s="51" t="s">
        <v>33</v>
      </c>
      <c r="E82" s="121">
        <f t="shared" si="2"/>
        <v>0.55547212157014725</v>
      </c>
      <c r="F82" s="51">
        <v>136.69999999999999</v>
      </c>
      <c r="G82" s="51">
        <v>137.30000000000001</v>
      </c>
      <c r="H82" s="51">
        <v>138.19999999999999</v>
      </c>
      <c r="I82" s="51">
        <v>138.69999999999999</v>
      </c>
      <c r="J82" s="51">
        <v>139.30000000000001</v>
      </c>
      <c r="K82" s="51">
        <v>140.19999999999999</v>
      </c>
      <c r="L82" s="51">
        <v>140.5</v>
      </c>
      <c r="M82" s="51">
        <v>141.9</v>
      </c>
      <c r="N82" s="51">
        <v>143.6</v>
      </c>
      <c r="O82" s="51">
        <v>143.6</v>
      </c>
      <c r="P82" s="51">
        <v>144.4</v>
      </c>
      <c r="Q82" s="51">
        <v>145.30000000000001</v>
      </c>
      <c r="R82" s="51">
        <v>146.69999999999999</v>
      </c>
      <c r="S82" s="51">
        <v>148.5</v>
      </c>
      <c r="T82" s="51">
        <v>150.4</v>
      </c>
      <c r="U82" s="51">
        <v>152.6</v>
      </c>
      <c r="V82" s="51">
        <v>154.5</v>
      </c>
      <c r="W82" s="51">
        <v>155.9</v>
      </c>
      <c r="X82" s="51">
        <v>157.4</v>
      </c>
      <c r="Y82" s="51">
        <v>158.69999999999999</v>
      </c>
      <c r="Z82" s="51">
        <v>160</v>
      </c>
      <c r="AA82" s="51">
        <v>161.69999999999999</v>
      </c>
      <c r="AB82" s="51">
        <v>162.6</v>
      </c>
      <c r="AC82" s="51">
        <v>163.5</v>
      </c>
      <c r="AD82" s="51">
        <v>164.5</v>
      </c>
      <c r="AE82" s="51">
        <v>165.3</v>
      </c>
      <c r="AF82" s="51">
        <v>167</v>
      </c>
      <c r="AG82" s="51">
        <v>167</v>
      </c>
      <c r="AH82" s="51">
        <v>167.7</v>
      </c>
      <c r="AI82" s="51">
        <v>168.1</v>
      </c>
    </row>
    <row r="83" spans="3:35" x14ac:dyDescent="0.35">
      <c r="C83" s="51" t="s">
        <v>61</v>
      </c>
      <c r="D83" s="51" t="s">
        <v>33</v>
      </c>
      <c r="E83" s="121">
        <f t="shared" si="2"/>
        <v>0.55812561462620636</v>
      </c>
      <c r="F83" s="51">
        <v>149.6</v>
      </c>
      <c r="G83" s="51">
        <v>150.19999999999999</v>
      </c>
      <c r="H83" s="51">
        <v>151.80000000000001</v>
      </c>
      <c r="I83" s="51">
        <v>152.6</v>
      </c>
      <c r="J83" s="51">
        <v>153.4</v>
      </c>
      <c r="K83" s="51">
        <v>154.1</v>
      </c>
      <c r="L83" s="51">
        <v>154.80000000000001</v>
      </c>
      <c r="M83" s="51">
        <v>155.5</v>
      </c>
      <c r="N83" s="51">
        <v>157.30000000000001</v>
      </c>
      <c r="O83" s="51">
        <v>157.4</v>
      </c>
      <c r="P83" s="51">
        <v>158.30000000000001</v>
      </c>
      <c r="Q83" s="51">
        <v>159.69999999999999</v>
      </c>
      <c r="R83" s="51">
        <v>160.69999999999999</v>
      </c>
      <c r="S83" s="51">
        <v>162.19999999999999</v>
      </c>
      <c r="T83" s="51">
        <v>163.4</v>
      </c>
      <c r="U83" s="51">
        <v>164.9</v>
      </c>
      <c r="V83" s="51">
        <v>166.3</v>
      </c>
      <c r="W83" s="51">
        <v>167.8</v>
      </c>
      <c r="X83" s="51">
        <v>169.4</v>
      </c>
      <c r="Y83" s="51">
        <v>170.6</v>
      </c>
      <c r="Z83" s="51">
        <v>171.6</v>
      </c>
      <c r="AA83" s="51">
        <v>173</v>
      </c>
      <c r="AB83" s="51">
        <v>173.6</v>
      </c>
      <c r="AC83" s="51">
        <v>174.7</v>
      </c>
      <c r="AD83" s="51">
        <v>175.7</v>
      </c>
      <c r="AE83" s="51">
        <v>176.6</v>
      </c>
      <c r="AF83" s="51">
        <v>178.2</v>
      </c>
      <c r="AG83" s="51">
        <v>178.2</v>
      </c>
      <c r="AH83" s="51">
        <v>178.9</v>
      </c>
      <c r="AI83" s="51">
        <v>179.3</v>
      </c>
    </row>
    <row r="84" spans="3:35" x14ac:dyDescent="0.35">
      <c r="C84" s="51" t="s">
        <v>63</v>
      </c>
      <c r="D84" s="51" t="s">
        <v>33</v>
      </c>
      <c r="E84" s="121">
        <f t="shared" si="2"/>
        <v>0.48431911206018458</v>
      </c>
      <c r="F84" s="51">
        <v>158.4</v>
      </c>
      <c r="G84" s="51">
        <v>157.69999999999999</v>
      </c>
      <c r="H84" s="51">
        <v>159.80000000000001</v>
      </c>
      <c r="I84" s="51">
        <v>159.9</v>
      </c>
      <c r="J84" s="51">
        <v>161.4</v>
      </c>
      <c r="K84" s="51">
        <v>161.6</v>
      </c>
      <c r="L84" s="51">
        <v>160.5</v>
      </c>
      <c r="M84" s="51">
        <v>161.5</v>
      </c>
      <c r="N84" s="51">
        <v>162.1</v>
      </c>
      <c r="O84" s="51">
        <v>162.1</v>
      </c>
      <c r="P84" s="51">
        <v>163.6</v>
      </c>
      <c r="Q84" s="51">
        <v>164.2</v>
      </c>
      <c r="R84" s="51">
        <v>163.4</v>
      </c>
      <c r="S84" s="51">
        <v>164.5</v>
      </c>
      <c r="T84" s="51">
        <v>165.5</v>
      </c>
      <c r="U84" s="51">
        <v>165.3</v>
      </c>
      <c r="V84" s="51">
        <v>167</v>
      </c>
      <c r="W84" s="51">
        <v>167.5</v>
      </c>
      <c r="X84" s="51">
        <v>166.8</v>
      </c>
      <c r="Y84" s="51">
        <v>167.8</v>
      </c>
      <c r="Z84" s="51">
        <v>169</v>
      </c>
      <c r="AA84" s="51">
        <v>169.5</v>
      </c>
      <c r="AB84" s="51">
        <v>171.2</v>
      </c>
      <c r="AC84" s="51">
        <v>171.8</v>
      </c>
      <c r="AD84" s="51">
        <v>170.7</v>
      </c>
      <c r="AE84" s="51">
        <v>172.1</v>
      </c>
      <c r="AF84" s="51">
        <v>173.5</v>
      </c>
      <c r="AG84" s="51">
        <v>173.5</v>
      </c>
      <c r="AH84" s="51">
        <v>175.2</v>
      </c>
      <c r="AI84" s="51">
        <v>175.6</v>
      </c>
    </row>
    <row r="85" spans="3:35" x14ac:dyDescent="0.35">
      <c r="C85" s="54" t="s">
        <v>62</v>
      </c>
      <c r="D85" s="51" t="s">
        <v>33</v>
      </c>
      <c r="E85" s="121">
        <f t="shared" si="2"/>
        <v>0.62328244727125781</v>
      </c>
      <c r="F85" s="51">
        <v>137.9</v>
      </c>
      <c r="G85" s="51">
        <v>142.9</v>
      </c>
      <c r="H85" s="51">
        <v>149.1</v>
      </c>
      <c r="I85" s="51">
        <v>154.80000000000001</v>
      </c>
      <c r="J85" s="51">
        <v>154.9</v>
      </c>
      <c r="K85" s="51">
        <v>155.5</v>
      </c>
      <c r="L85" s="51">
        <v>156.1</v>
      </c>
      <c r="M85" s="51">
        <v>157.69999999999999</v>
      </c>
      <c r="N85" s="51">
        <v>160.69999999999999</v>
      </c>
      <c r="O85" s="51">
        <v>160.80000000000001</v>
      </c>
      <c r="P85" s="51">
        <v>162.19999999999999</v>
      </c>
      <c r="Q85" s="51">
        <v>161.6</v>
      </c>
      <c r="R85" s="51">
        <v>161.69999999999999</v>
      </c>
      <c r="S85" s="51">
        <v>161.6</v>
      </c>
      <c r="T85" s="51">
        <v>163</v>
      </c>
      <c r="U85" s="51">
        <v>164.5</v>
      </c>
      <c r="V85" s="51">
        <v>170.5</v>
      </c>
      <c r="W85" s="51">
        <v>173.5</v>
      </c>
      <c r="X85" s="51">
        <v>174.9</v>
      </c>
      <c r="Y85" s="51">
        <v>179.5</v>
      </c>
      <c r="Z85" s="51">
        <v>178.4</v>
      </c>
      <c r="AA85" s="51">
        <v>179.2</v>
      </c>
      <c r="AB85" s="51">
        <v>180</v>
      </c>
      <c r="AC85" s="51">
        <v>180.3</v>
      </c>
      <c r="AD85" s="51">
        <v>180.6</v>
      </c>
      <c r="AE85" s="51">
        <v>180.1</v>
      </c>
      <c r="AF85" s="51">
        <v>182.8</v>
      </c>
      <c r="AG85" s="51">
        <v>182.6</v>
      </c>
      <c r="AH85" s="51">
        <v>182.1</v>
      </c>
      <c r="AI85" s="51">
        <v>183.4</v>
      </c>
    </row>
    <row r="86" spans="3:35" x14ac:dyDescent="0.35">
      <c r="C86" s="54" t="s">
        <v>62</v>
      </c>
      <c r="D86" s="51" t="s">
        <v>33</v>
      </c>
      <c r="E86" s="121">
        <f t="shared" si="2"/>
        <v>0.57514955748248087</v>
      </c>
      <c r="F86" s="51">
        <v>145.5</v>
      </c>
      <c r="G86" s="51">
        <v>145.69999999999999</v>
      </c>
      <c r="H86" s="51">
        <v>146.5</v>
      </c>
      <c r="I86" s="51">
        <v>147.19999999999999</v>
      </c>
      <c r="J86" s="51">
        <v>147.6</v>
      </c>
      <c r="K86" s="51">
        <v>150.1</v>
      </c>
      <c r="L86" s="51">
        <v>149.80000000000001</v>
      </c>
      <c r="M86" s="51">
        <v>150.69999999999999</v>
      </c>
      <c r="N86" s="51">
        <v>153.19999999999999</v>
      </c>
      <c r="O86" s="51">
        <v>153.30000000000001</v>
      </c>
      <c r="P86" s="51">
        <v>154.30000000000001</v>
      </c>
      <c r="Q86" s="51">
        <v>155.19999999999999</v>
      </c>
      <c r="R86" s="51">
        <v>156</v>
      </c>
      <c r="S86" s="51">
        <v>156.80000000000001</v>
      </c>
      <c r="T86" s="51">
        <v>157.4</v>
      </c>
      <c r="U86" s="51">
        <v>158.6</v>
      </c>
      <c r="V86" s="51">
        <v>159.80000000000001</v>
      </c>
      <c r="W86" s="51">
        <v>161.1</v>
      </c>
      <c r="X86" s="51">
        <v>162.1</v>
      </c>
      <c r="Y86" s="51">
        <v>163.1</v>
      </c>
      <c r="Z86" s="51">
        <v>164.2</v>
      </c>
      <c r="AA86" s="51">
        <v>165</v>
      </c>
      <c r="AB86" s="51">
        <v>166</v>
      </c>
      <c r="AC86" s="51">
        <v>166.9</v>
      </c>
      <c r="AD86" s="51">
        <v>167.3</v>
      </c>
      <c r="AE86" s="51">
        <v>168</v>
      </c>
      <c r="AF86" s="51">
        <v>169.2</v>
      </c>
      <c r="AG86" s="51">
        <v>169.2</v>
      </c>
      <c r="AH86" s="51">
        <v>169.6</v>
      </c>
      <c r="AI86" s="51">
        <v>170.1</v>
      </c>
    </row>
    <row r="87" spans="3:35" x14ac:dyDescent="0.35">
      <c r="C87" s="51" t="s">
        <v>23</v>
      </c>
      <c r="D87" s="51" t="s">
        <v>33</v>
      </c>
      <c r="E87" s="121">
        <f t="shared" si="2"/>
        <v>0.52817470399933641</v>
      </c>
      <c r="F87" s="51">
        <v>152.9</v>
      </c>
      <c r="G87" s="51">
        <v>154.1</v>
      </c>
      <c r="H87" s="51">
        <v>156.30000000000001</v>
      </c>
      <c r="I87" s="51">
        <v>156.9</v>
      </c>
      <c r="J87" s="51">
        <v>157.5</v>
      </c>
      <c r="K87" s="51">
        <v>160.4</v>
      </c>
      <c r="L87" s="51">
        <v>160.80000000000001</v>
      </c>
      <c r="M87" s="51">
        <v>161.5</v>
      </c>
      <c r="N87" s="51">
        <v>162.80000000000001</v>
      </c>
      <c r="O87" s="51">
        <v>162.80000000000001</v>
      </c>
      <c r="P87" s="51">
        <v>163.5</v>
      </c>
      <c r="Q87" s="51">
        <v>164.2</v>
      </c>
      <c r="R87" s="51">
        <v>165.1</v>
      </c>
      <c r="S87" s="51">
        <v>166.1</v>
      </c>
      <c r="T87" s="51">
        <v>167.2</v>
      </c>
      <c r="U87" s="51">
        <v>168.2</v>
      </c>
      <c r="V87" s="51">
        <v>169</v>
      </c>
      <c r="W87" s="51">
        <v>170.1</v>
      </c>
      <c r="X87" s="51">
        <v>170.9</v>
      </c>
      <c r="Y87" s="51">
        <v>171.7</v>
      </c>
      <c r="Z87" s="51">
        <v>172.6</v>
      </c>
      <c r="AA87" s="51">
        <v>173.8</v>
      </c>
      <c r="AB87" s="51">
        <v>174.7</v>
      </c>
      <c r="AC87" s="51">
        <v>175.8</v>
      </c>
      <c r="AD87" s="51">
        <v>177.2</v>
      </c>
      <c r="AE87" s="51">
        <v>178.5</v>
      </c>
      <c r="AF87" s="51">
        <v>180.8</v>
      </c>
      <c r="AG87" s="51">
        <v>180.8</v>
      </c>
      <c r="AH87" s="51">
        <v>181.5</v>
      </c>
      <c r="AI87" s="51">
        <v>182.2</v>
      </c>
    </row>
    <row r="88" spans="3:35" x14ac:dyDescent="0.35">
      <c r="C88" s="51" t="s">
        <v>61</v>
      </c>
      <c r="D88" s="51" t="s">
        <v>33</v>
      </c>
      <c r="E88" s="121">
        <f t="shared" si="2"/>
        <v>0.73086472116233658</v>
      </c>
      <c r="F88" s="51">
        <v>135.5</v>
      </c>
      <c r="G88" s="51">
        <v>136.9</v>
      </c>
      <c r="H88" s="51">
        <v>140.5</v>
      </c>
      <c r="I88" s="51">
        <v>141.69999999999999</v>
      </c>
      <c r="J88" s="51">
        <v>142.1</v>
      </c>
      <c r="K88" s="51">
        <v>145</v>
      </c>
      <c r="L88" s="51">
        <v>147.5</v>
      </c>
      <c r="M88" s="51">
        <v>149.5</v>
      </c>
      <c r="N88" s="51">
        <v>150.4</v>
      </c>
      <c r="O88" s="51">
        <v>150.5</v>
      </c>
      <c r="P88" s="51">
        <v>152.19999999999999</v>
      </c>
      <c r="Q88" s="51">
        <v>151.19999999999999</v>
      </c>
      <c r="R88" s="51">
        <v>151.80000000000001</v>
      </c>
      <c r="S88" s="51">
        <v>152.69999999999999</v>
      </c>
      <c r="T88" s="51">
        <v>153.1</v>
      </c>
      <c r="U88" s="51">
        <v>154.19999999999999</v>
      </c>
      <c r="V88" s="51">
        <v>159.30000000000001</v>
      </c>
      <c r="W88" s="51">
        <v>159.4</v>
      </c>
      <c r="X88" s="51">
        <v>157.19999999999999</v>
      </c>
      <c r="Y88" s="51">
        <v>157.4</v>
      </c>
      <c r="Z88" s="51">
        <v>157.69999999999999</v>
      </c>
      <c r="AA88" s="51">
        <v>158.19999999999999</v>
      </c>
      <c r="AB88" s="51">
        <v>158.80000000000001</v>
      </c>
      <c r="AC88" s="51">
        <v>158.9</v>
      </c>
      <c r="AD88" s="51">
        <v>159.4</v>
      </c>
      <c r="AE88" s="51">
        <v>159.5</v>
      </c>
      <c r="AF88" s="51">
        <v>159.80000000000001</v>
      </c>
      <c r="AG88" s="51">
        <v>159.80000000000001</v>
      </c>
      <c r="AH88" s="51">
        <v>160.1</v>
      </c>
      <c r="AI88" s="51">
        <v>160.4</v>
      </c>
    </row>
    <row r="89" spans="3:35" x14ac:dyDescent="0.35">
      <c r="C89" s="51" t="s">
        <v>60</v>
      </c>
      <c r="D89" s="51" t="s">
        <v>33</v>
      </c>
      <c r="E89" s="121">
        <f t="shared" si="2"/>
        <v>0.6585232543424222</v>
      </c>
      <c r="F89" s="51">
        <v>144.30000000000001</v>
      </c>
      <c r="G89" s="51">
        <v>145.4</v>
      </c>
      <c r="H89" s="51">
        <v>147.30000000000001</v>
      </c>
      <c r="I89" s="51">
        <v>148.6</v>
      </c>
      <c r="J89" s="51">
        <v>149.1</v>
      </c>
      <c r="K89" s="51">
        <v>152.6</v>
      </c>
      <c r="L89" s="51">
        <v>150.69999999999999</v>
      </c>
      <c r="M89" s="51">
        <v>151.19999999999999</v>
      </c>
      <c r="N89" s="51">
        <v>153.69999999999999</v>
      </c>
      <c r="O89" s="51">
        <v>153.9</v>
      </c>
      <c r="P89" s="51">
        <v>155.1</v>
      </c>
      <c r="Q89" s="51">
        <v>156.69999999999999</v>
      </c>
      <c r="R89" s="51">
        <v>157.6</v>
      </c>
      <c r="S89" s="51">
        <v>158.4</v>
      </c>
      <c r="T89" s="51">
        <v>159.5</v>
      </c>
      <c r="U89" s="51">
        <v>160.80000000000001</v>
      </c>
      <c r="V89" s="51">
        <v>162.19999999999999</v>
      </c>
      <c r="W89" s="51">
        <v>163.19999999999999</v>
      </c>
      <c r="X89" s="51">
        <v>164.1</v>
      </c>
      <c r="Y89" s="51">
        <v>164.6</v>
      </c>
      <c r="Z89" s="51">
        <v>165.1</v>
      </c>
      <c r="AA89" s="51">
        <v>165.8</v>
      </c>
      <c r="AB89" s="51">
        <v>166.3</v>
      </c>
      <c r="AC89" s="51">
        <v>166.7</v>
      </c>
      <c r="AD89" s="51">
        <v>167.1</v>
      </c>
      <c r="AE89" s="51">
        <v>167.8</v>
      </c>
      <c r="AF89" s="51">
        <v>168.4</v>
      </c>
      <c r="AG89" s="51">
        <v>168.4</v>
      </c>
      <c r="AH89" s="51">
        <v>168.8</v>
      </c>
      <c r="AI89" s="51">
        <v>169.2</v>
      </c>
    </row>
    <row r="90" spans="3:35" x14ac:dyDescent="0.35">
      <c r="C90" s="51" t="s">
        <v>61</v>
      </c>
      <c r="D90" s="51" t="s">
        <v>33</v>
      </c>
      <c r="E90" s="121">
        <f t="shared" si="2"/>
        <v>0.47698570949222846</v>
      </c>
      <c r="F90" s="51">
        <v>156.9</v>
      </c>
      <c r="G90" s="51">
        <v>156.1</v>
      </c>
      <c r="H90" s="51">
        <v>156.6</v>
      </c>
      <c r="I90" s="51">
        <v>157.6</v>
      </c>
      <c r="J90" s="51">
        <v>157.6</v>
      </c>
      <c r="K90" s="51">
        <v>156.6</v>
      </c>
      <c r="L90" s="51">
        <v>158.1</v>
      </c>
      <c r="M90" s="51">
        <v>160.30000000000001</v>
      </c>
      <c r="N90" s="51">
        <v>160.4</v>
      </c>
      <c r="O90" s="51">
        <v>160.30000000000001</v>
      </c>
      <c r="P90" s="51">
        <v>160.30000000000001</v>
      </c>
      <c r="Q90" s="51">
        <v>160.80000000000001</v>
      </c>
      <c r="R90" s="51">
        <v>160.6</v>
      </c>
      <c r="S90" s="51">
        <v>161</v>
      </c>
      <c r="T90" s="51">
        <v>162</v>
      </c>
      <c r="U90" s="51">
        <v>162.69999999999999</v>
      </c>
      <c r="V90" s="51">
        <v>164</v>
      </c>
      <c r="W90" s="51">
        <v>165.2</v>
      </c>
      <c r="X90" s="51">
        <v>166.5</v>
      </c>
      <c r="Y90" s="51">
        <v>169.1</v>
      </c>
      <c r="Z90" s="51">
        <v>169.9</v>
      </c>
      <c r="AA90" s="51">
        <v>170.9</v>
      </c>
      <c r="AB90" s="51">
        <v>171.2</v>
      </c>
      <c r="AC90" s="51">
        <v>171.5</v>
      </c>
      <c r="AD90" s="51">
        <v>171.8</v>
      </c>
      <c r="AE90" s="51">
        <v>171.8</v>
      </c>
      <c r="AF90" s="51">
        <v>172.5</v>
      </c>
      <c r="AG90" s="51">
        <v>172.5</v>
      </c>
      <c r="AH90" s="51">
        <v>174.2</v>
      </c>
      <c r="AI90" s="51">
        <v>174.8</v>
      </c>
    </row>
    <row r="91" spans="3:35" x14ac:dyDescent="0.35">
      <c r="C91" s="51" t="s">
        <v>60</v>
      </c>
      <c r="D91" s="51" t="s">
        <v>33</v>
      </c>
      <c r="E91" s="121">
        <f t="shared" si="2"/>
        <v>0.41129033220572186</v>
      </c>
      <c r="F91" s="51">
        <v>157.9</v>
      </c>
      <c r="G91" s="51">
        <v>157.69999999999999</v>
      </c>
      <c r="H91" s="51">
        <v>156.69999999999999</v>
      </c>
      <c r="I91" s="51">
        <v>154.9</v>
      </c>
      <c r="J91" s="51">
        <v>156.6</v>
      </c>
      <c r="K91" s="51">
        <v>157.5</v>
      </c>
      <c r="L91" s="51">
        <v>158</v>
      </c>
      <c r="M91" s="51">
        <v>159.6</v>
      </c>
      <c r="N91" s="51">
        <v>159.6</v>
      </c>
      <c r="O91" s="51">
        <v>159.6</v>
      </c>
      <c r="P91" s="51">
        <v>160.30000000000001</v>
      </c>
      <c r="Q91" s="51">
        <v>161.80000000000001</v>
      </c>
      <c r="R91" s="51">
        <v>162.4</v>
      </c>
      <c r="S91" s="51">
        <v>162.80000000000001</v>
      </c>
      <c r="T91" s="51">
        <v>164.2</v>
      </c>
      <c r="U91" s="51">
        <v>166.8</v>
      </c>
      <c r="V91" s="51">
        <v>168.4</v>
      </c>
      <c r="W91" s="51">
        <v>168.2</v>
      </c>
      <c r="X91" s="51">
        <v>169.2</v>
      </c>
      <c r="Y91" s="51">
        <v>169.8</v>
      </c>
      <c r="Z91" s="51">
        <v>171.4</v>
      </c>
      <c r="AA91" s="51">
        <v>171.1</v>
      </c>
      <c r="AB91" s="51">
        <v>172.3</v>
      </c>
      <c r="AC91" s="51">
        <v>173.8</v>
      </c>
      <c r="AD91" s="51">
        <v>176</v>
      </c>
      <c r="AE91" s="51">
        <v>178.8</v>
      </c>
      <c r="AF91" s="51">
        <v>181.4</v>
      </c>
      <c r="AG91" s="51">
        <v>181.5</v>
      </c>
      <c r="AH91" s="51">
        <v>184.4</v>
      </c>
      <c r="AI91" s="51">
        <v>185.6</v>
      </c>
    </row>
    <row r="92" spans="3:35" x14ac:dyDescent="0.35">
      <c r="C92" s="51" t="s">
        <v>28</v>
      </c>
      <c r="D92" s="51" t="s">
        <v>33</v>
      </c>
      <c r="E92" s="121">
        <f t="shared" si="2"/>
        <v>0.60074827668849318</v>
      </c>
      <c r="F92" s="51">
        <v>146.9</v>
      </c>
      <c r="G92" s="51">
        <v>147.6</v>
      </c>
      <c r="H92" s="51">
        <v>149.30000000000001</v>
      </c>
      <c r="I92" s="51">
        <v>150</v>
      </c>
      <c r="J92" s="51">
        <v>150.5</v>
      </c>
      <c r="K92" s="51">
        <v>152.30000000000001</v>
      </c>
      <c r="L92" s="51">
        <v>153.4</v>
      </c>
      <c r="M92" s="51">
        <v>155</v>
      </c>
      <c r="N92" s="51">
        <v>156</v>
      </c>
      <c r="O92" s="51">
        <v>156</v>
      </c>
      <c r="P92" s="51">
        <v>157</v>
      </c>
      <c r="Q92" s="51">
        <v>157.30000000000001</v>
      </c>
      <c r="R92" s="51">
        <v>157.80000000000001</v>
      </c>
      <c r="S92" s="51">
        <v>158.6</v>
      </c>
      <c r="T92" s="51">
        <v>159.4</v>
      </c>
      <c r="U92" s="51">
        <v>160.6</v>
      </c>
      <c r="V92" s="51">
        <v>163.1</v>
      </c>
      <c r="W92" s="51">
        <v>163.80000000000001</v>
      </c>
      <c r="X92" s="51">
        <v>163.80000000000001</v>
      </c>
      <c r="Y92" s="51">
        <v>164.7</v>
      </c>
      <c r="Z92" s="51">
        <v>165.4</v>
      </c>
      <c r="AA92" s="51">
        <v>166.1</v>
      </c>
      <c r="AB92" s="51">
        <v>166.8</v>
      </c>
      <c r="AC92" s="51">
        <v>167.4</v>
      </c>
      <c r="AD92" s="51">
        <v>168.2</v>
      </c>
      <c r="AE92" s="51">
        <v>168.9</v>
      </c>
      <c r="AF92" s="51">
        <v>170</v>
      </c>
      <c r="AG92" s="51">
        <v>170</v>
      </c>
      <c r="AH92" s="51">
        <v>170.9</v>
      </c>
      <c r="AI92" s="51">
        <v>171.6</v>
      </c>
    </row>
    <row r="93" spans="3:35" x14ac:dyDescent="0.35">
      <c r="C93" s="55" t="s">
        <v>64</v>
      </c>
      <c r="D93" s="51" t="s">
        <v>33</v>
      </c>
      <c r="E93" s="121">
        <f t="shared" si="2"/>
        <v>0.59276423897393615</v>
      </c>
      <c r="F93" s="51">
        <v>156.9</v>
      </c>
      <c r="G93" s="51">
        <v>156</v>
      </c>
      <c r="H93" s="51">
        <v>156.5</v>
      </c>
      <c r="I93" s="51">
        <v>156.9</v>
      </c>
      <c r="J93" s="51">
        <v>158</v>
      </c>
      <c r="K93" s="51">
        <v>159.5</v>
      </c>
      <c r="L93" s="51">
        <v>160.4</v>
      </c>
      <c r="M93" s="51">
        <v>161.80000000000001</v>
      </c>
      <c r="N93" s="51">
        <v>162.30000000000001</v>
      </c>
      <c r="O93" s="51">
        <v>162.30000000000001</v>
      </c>
      <c r="P93" s="51">
        <v>164.6</v>
      </c>
      <c r="Q93" s="51">
        <v>165.6</v>
      </c>
      <c r="R93" s="51">
        <v>165.2</v>
      </c>
      <c r="S93" s="51">
        <v>165</v>
      </c>
      <c r="T93" s="51">
        <v>165.5</v>
      </c>
      <c r="U93" s="51">
        <v>166.5</v>
      </c>
      <c r="V93" s="51">
        <v>169.2</v>
      </c>
      <c r="W93" s="51">
        <v>170.8</v>
      </c>
      <c r="X93" s="51">
        <v>171.4</v>
      </c>
      <c r="Y93" s="51">
        <v>172.3</v>
      </c>
      <c r="Z93" s="51">
        <v>173.1</v>
      </c>
      <c r="AA93" s="51">
        <v>174.1</v>
      </c>
      <c r="AB93" s="51">
        <v>175.3</v>
      </c>
      <c r="AC93" s="51">
        <v>174.1</v>
      </c>
      <c r="AD93" s="51">
        <v>174.1</v>
      </c>
      <c r="AE93" s="51">
        <v>174.9</v>
      </c>
      <c r="AF93" s="51">
        <v>176.3</v>
      </c>
      <c r="AG93" s="51">
        <v>176.3</v>
      </c>
      <c r="AH93" s="51">
        <v>177.4</v>
      </c>
      <c r="AI93" s="51">
        <v>178.2</v>
      </c>
    </row>
  </sheetData>
  <mergeCells count="1">
    <mergeCell ref="C9:E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30D3-2FA5-435A-8F00-93AF659356B3}">
  <dimension ref="A1:P42"/>
  <sheetViews>
    <sheetView zoomScale="102" workbookViewId="0">
      <selection activeCell="A8" sqref="A8:O8"/>
    </sheetView>
  </sheetViews>
  <sheetFormatPr defaultRowHeight="14.5" x14ac:dyDescent="0.35"/>
  <cols>
    <col min="7" max="7" width="11.26953125" bestFit="1" customWidth="1"/>
    <col min="9" max="9" width="10.90625" bestFit="1" customWidth="1"/>
    <col min="10" max="10" width="10.6328125" bestFit="1" customWidth="1"/>
    <col min="12" max="12" width="10" bestFit="1" customWidth="1"/>
  </cols>
  <sheetData>
    <row r="1" spans="1:16" ht="15.5" x14ac:dyDescent="0.35">
      <c r="A1" s="103"/>
      <c r="B1" s="104"/>
      <c r="C1" s="104"/>
      <c r="D1" s="104"/>
      <c r="E1" s="104"/>
      <c r="F1" s="104"/>
      <c r="G1" s="104"/>
      <c r="H1" s="104"/>
      <c r="I1" s="104"/>
      <c r="J1" s="104"/>
      <c r="K1" s="104"/>
      <c r="L1" s="104"/>
      <c r="M1" s="104"/>
      <c r="N1" s="104"/>
      <c r="O1" s="104"/>
      <c r="P1" s="104"/>
    </row>
    <row r="2" spans="1:16" ht="20" x14ac:dyDescent="0.35">
      <c r="A2" s="164" t="s">
        <v>262</v>
      </c>
      <c r="B2" s="164"/>
      <c r="C2" s="164"/>
      <c r="D2" s="164"/>
      <c r="E2" s="164"/>
      <c r="F2" s="164"/>
      <c r="G2" s="164"/>
      <c r="H2" s="164"/>
      <c r="I2" s="164"/>
      <c r="J2" s="164"/>
      <c r="K2" s="164"/>
      <c r="L2" s="164"/>
      <c r="M2" s="164"/>
      <c r="N2" s="164"/>
      <c r="O2" s="164"/>
      <c r="P2" s="104"/>
    </row>
    <row r="3" spans="1:16" ht="15.5" x14ac:dyDescent="0.35">
      <c r="A3" s="103"/>
      <c r="B3" s="104"/>
      <c r="C3" s="104"/>
      <c r="D3" s="104"/>
      <c r="E3" s="104"/>
      <c r="F3" s="104"/>
      <c r="G3" s="104"/>
      <c r="H3" s="104"/>
      <c r="I3" s="104"/>
      <c r="J3" s="104"/>
      <c r="K3" s="104"/>
      <c r="L3" s="104"/>
      <c r="M3" s="104"/>
      <c r="N3" s="104"/>
      <c r="O3" s="104"/>
      <c r="P3" s="104"/>
    </row>
    <row r="4" spans="1:16" ht="15.5" x14ac:dyDescent="0.35">
      <c r="A4" s="103"/>
      <c r="B4" s="104"/>
      <c r="C4" s="104"/>
      <c r="D4" s="104"/>
      <c r="E4" s="104"/>
      <c r="F4" s="104"/>
      <c r="G4" s="104"/>
      <c r="H4" s="104"/>
      <c r="I4" s="104"/>
      <c r="J4" s="104"/>
      <c r="K4" s="104"/>
      <c r="L4" s="104"/>
      <c r="M4" s="104"/>
      <c r="N4" s="104"/>
      <c r="O4" s="104"/>
      <c r="P4" s="104"/>
    </row>
    <row r="5" spans="1:16" ht="15.5" x14ac:dyDescent="0.35">
      <c r="A5" s="103"/>
      <c r="B5" s="104"/>
      <c r="C5" s="104"/>
      <c r="D5" s="104"/>
      <c r="E5" s="104"/>
      <c r="F5" s="104"/>
      <c r="G5" s="104"/>
      <c r="H5" s="104"/>
      <c r="I5" s="104"/>
      <c r="J5" s="104"/>
      <c r="K5" s="104"/>
      <c r="L5" s="104"/>
      <c r="M5" s="104"/>
      <c r="N5" s="104"/>
      <c r="O5" s="104"/>
      <c r="P5" s="104"/>
    </row>
    <row r="6" spans="1:16" ht="15.5" x14ac:dyDescent="0.35">
      <c r="A6" s="103"/>
      <c r="B6" s="104"/>
      <c r="C6" s="104"/>
      <c r="D6" s="104"/>
      <c r="E6" s="104"/>
      <c r="F6" s="104"/>
      <c r="G6" s="104"/>
      <c r="H6" s="104"/>
      <c r="I6" s="104"/>
      <c r="J6" s="104"/>
      <c r="K6" s="104"/>
      <c r="L6" s="104"/>
      <c r="M6" s="104"/>
      <c r="N6" s="104"/>
      <c r="O6" s="104"/>
      <c r="P6" s="104"/>
    </row>
    <row r="7" spans="1:16" ht="15.5" x14ac:dyDescent="0.35">
      <c r="A7" s="103"/>
      <c r="B7" s="104"/>
      <c r="C7" s="104"/>
      <c r="D7" s="104"/>
      <c r="E7" s="104"/>
      <c r="F7" s="104"/>
      <c r="G7" s="104"/>
      <c r="H7" s="104"/>
      <c r="I7" s="104"/>
      <c r="J7" s="104"/>
      <c r="K7" s="104"/>
      <c r="L7" s="104"/>
      <c r="M7" s="104"/>
      <c r="N7" s="104"/>
      <c r="O7" s="104"/>
      <c r="P7" s="104"/>
    </row>
    <row r="8" spans="1:16" ht="17.5" x14ac:dyDescent="0.35">
      <c r="A8" s="165" t="s">
        <v>263</v>
      </c>
      <c r="B8" s="165"/>
      <c r="C8" s="165"/>
      <c r="D8" s="165"/>
      <c r="E8" s="165"/>
      <c r="F8" s="165"/>
      <c r="G8" s="165"/>
      <c r="H8" s="165"/>
      <c r="I8" s="165"/>
      <c r="J8" s="165"/>
      <c r="K8" s="165"/>
      <c r="L8" s="165"/>
      <c r="M8" s="165"/>
      <c r="N8" s="165"/>
      <c r="O8" s="165"/>
      <c r="P8" s="104"/>
    </row>
    <row r="9" spans="1:16" ht="15.5" x14ac:dyDescent="0.35">
      <c r="A9" s="103"/>
      <c r="B9" s="104"/>
      <c r="C9" s="104"/>
      <c r="D9" s="104"/>
      <c r="E9" s="104"/>
      <c r="F9" s="104"/>
      <c r="G9" s="104"/>
      <c r="H9" s="104"/>
      <c r="I9" s="104"/>
      <c r="J9" s="104"/>
      <c r="K9" s="104"/>
      <c r="L9" s="104"/>
      <c r="M9" s="104"/>
      <c r="N9" s="104"/>
      <c r="O9" s="104"/>
      <c r="P9" s="104"/>
    </row>
    <row r="10" spans="1:16" ht="15.5" x14ac:dyDescent="0.35">
      <c r="A10" s="103" t="s">
        <v>264</v>
      </c>
      <c r="B10" s="104"/>
      <c r="C10" s="104"/>
      <c r="D10" s="104"/>
      <c r="E10" s="104"/>
      <c r="F10" s="104"/>
      <c r="G10" s="104"/>
      <c r="H10" s="104"/>
      <c r="I10" s="104"/>
      <c r="J10" s="104"/>
      <c r="K10" s="104"/>
      <c r="L10" s="104"/>
      <c r="M10" s="104"/>
      <c r="N10" s="104"/>
      <c r="O10" s="104"/>
      <c r="P10" s="104"/>
    </row>
    <row r="11" spans="1:16" ht="15.5" x14ac:dyDescent="0.35">
      <c r="A11" s="103" t="s">
        <v>265</v>
      </c>
      <c r="B11" s="104"/>
      <c r="C11" s="104"/>
      <c r="D11" s="104"/>
      <c r="E11" s="104"/>
      <c r="F11" s="104"/>
      <c r="G11" s="104"/>
      <c r="H11" s="104"/>
      <c r="I11" s="104"/>
      <c r="J11" s="104"/>
      <c r="K11" s="104"/>
      <c r="L11" s="104"/>
      <c r="M11" s="104"/>
      <c r="N11" s="104"/>
      <c r="O11" s="104"/>
      <c r="P11" s="104"/>
    </row>
    <row r="12" spans="1:16" ht="15.5" x14ac:dyDescent="0.35">
      <c r="A12" s="104"/>
      <c r="B12" s="105"/>
      <c r="C12" s="105"/>
      <c r="D12" s="105"/>
      <c r="E12" s="105"/>
      <c r="F12" s="105"/>
      <c r="G12" s="105"/>
      <c r="H12" s="105"/>
      <c r="I12" s="105"/>
      <c r="J12" s="105"/>
      <c r="K12" s="105"/>
      <c r="L12" s="106"/>
      <c r="M12" s="106"/>
      <c r="N12" s="103"/>
      <c r="O12" s="107" t="s">
        <v>266</v>
      </c>
      <c r="P12" s="104"/>
    </row>
    <row r="13" spans="1:16" ht="15.5" x14ac:dyDescent="0.35">
      <c r="A13" s="108" t="s">
        <v>1</v>
      </c>
      <c r="B13" s="109">
        <v>33329</v>
      </c>
      <c r="C13" s="109">
        <v>33359</v>
      </c>
      <c r="D13" s="109">
        <v>33390</v>
      </c>
      <c r="E13" s="109">
        <v>33420</v>
      </c>
      <c r="F13" s="109">
        <v>33451</v>
      </c>
      <c r="G13" s="109">
        <v>33482</v>
      </c>
      <c r="H13" s="109">
        <v>33512</v>
      </c>
      <c r="I13" s="109">
        <v>33543</v>
      </c>
      <c r="J13" s="109">
        <v>33573</v>
      </c>
      <c r="K13" s="109">
        <v>33604</v>
      </c>
      <c r="L13" s="109">
        <v>33635</v>
      </c>
      <c r="M13" s="109">
        <v>33664</v>
      </c>
      <c r="N13" s="109" t="s">
        <v>267</v>
      </c>
      <c r="O13" s="109" t="s">
        <v>268</v>
      </c>
      <c r="P13" s="104"/>
    </row>
    <row r="14" spans="1:16" ht="15.5" x14ac:dyDescent="0.35">
      <c r="A14" s="110" t="s">
        <v>269</v>
      </c>
      <c r="B14" s="111">
        <v>22.51</v>
      </c>
      <c r="C14" s="111">
        <v>26.6</v>
      </c>
      <c r="D14" s="111">
        <v>28.49</v>
      </c>
      <c r="E14" s="111">
        <v>27.26</v>
      </c>
      <c r="F14" s="111">
        <v>28.328848863636367</v>
      </c>
      <c r="G14" s="111">
        <v>31.34</v>
      </c>
      <c r="H14" s="111">
        <v>30.5</v>
      </c>
      <c r="I14" s="111">
        <v>30.926621590909097</v>
      </c>
      <c r="J14" s="111">
        <v>23.25</v>
      </c>
      <c r="K14" s="111">
        <v>24.02</v>
      </c>
      <c r="L14" s="111">
        <v>25.92</v>
      </c>
      <c r="M14" s="111">
        <v>23.82</v>
      </c>
      <c r="N14" s="112">
        <v>26.924166666666665</v>
      </c>
      <c r="O14" s="113" t="s">
        <v>270</v>
      </c>
      <c r="P14" s="114"/>
    </row>
    <row r="15" spans="1:16" ht="15.5" x14ac:dyDescent="0.35">
      <c r="A15" s="115" t="s">
        <v>271</v>
      </c>
      <c r="B15" s="111">
        <v>24.82</v>
      </c>
      <c r="C15" s="111">
        <v>26.95</v>
      </c>
      <c r="D15" s="111">
        <v>26.63</v>
      </c>
      <c r="E15" s="111">
        <v>23.99</v>
      </c>
      <c r="F15" s="111">
        <v>25.01</v>
      </c>
      <c r="G15" s="111">
        <v>24.79</v>
      </c>
      <c r="H15" s="111">
        <v>20.05</v>
      </c>
      <c r="I15" s="111">
        <v>18.239999999999998</v>
      </c>
      <c r="J15" s="111">
        <v>18.239999999999998</v>
      </c>
      <c r="K15" s="111">
        <v>18.920000000000002</v>
      </c>
      <c r="L15" s="111">
        <v>19.529986842105259</v>
      </c>
      <c r="M15" s="111">
        <v>23.31</v>
      </c>
      <c r="N15" s="112">
        <v>22.551701476377943</v>
      </c>
      <c r="O15" s="113" t="s">
        <v>270</v>
      </c>
      <c r="P15" s="116"/>
    </row>
    <row r="16" spans="1:16" ht="15.5" x14ac:dyDescent="0.35">
      <c r="A16" s="110" t="s">
        <v>272</v>
      </c>
      <c r="B16" s="111">
        <v>25.029405681818183</v>
      </c>
      <c r="C16" s="111">
        <v>24.994865217391304</v>
      </c>
      <c r="D16" s="111">
        <v>24.051813749999997</v>
      </c>
      <c r="E16" s="111">
        <v>25.183221739130431</v>
      </c>
      <c r="F16" s="111">
        <v>25.855818181818179</v>
      </c>
      <c r="G16" s="111">
        <v>27.495242857142859</v>
      </c>
      <c r="H16" s="111">
        <v>26.902101086956524</v>
      </c>
      <c r="I16" s="111">
        <v>23.682511904761906</v>
      </c>
      <c r="J16" s="111">
        <v>27.110101190476186</v>
      </c>
      <c r="K16" s="111">
        <v>29.592549999999996</v>
      </c>
      <c r="L16" s="111">
        <v>31.308380555555548</v>
      </c>
      <c r="M16" s="111">
        <v>28.825039285714286</v>
      </c>
      <c r="N16" s="112">
        <v>26.6</v>
      </c>
      <c r="O16" s="113" t="s">
        <v>270</v>
      </c>
      <c r="P16" s="116"/>
    </row>
    <row r="17" spans="1:16" ht="15.5" x14ac:dyDescent="0.35">
      <c r="A17" s="115" t="s">
        <v>273</v>
      </c>
      <c r="B17" s="111">
        <v>24.214591666666667</v>
      </c>
      <c r="C17" s="111">
        <v>24.98887894736842</v>
      </c>
      <c r="D17" s="111">
        <v>26.425924999999999</v>
      </c>
      <c r="E17" s="111">
        <v>27.458449999999999</v>
      </c>
      <c r="F17" s="111">
        <v>28.663598809523808</v>
      </c>
      <c r="G17" s="111">
        <v>26.265218181818184</v>
      </c>
      <c r="H17" s="111">
        <v>28.449944318181817</v>
      </c>
      <c r="I17" s="111">
        <v>28.226284210526316</v>
      </c>
      <c r="J17" s="111">
        <v>28.966610714285707</v>
      </c>
      <c r="K17" s="111">
        <v>29.999534210526313</v>
      </c>
      <c r="L17" s="111">
        <v>29.647267105263154</v>
      </c>
      <c r="M17" s="111">
        <v>32.210322826086951</v>
      </c>
      <c r="N17" s="112">
        <v>27.98</v>
      </c>
      <c r="O17" s="113" t="s">
        <v>270</v>
      </c>
      <c r="P17" s="116"/>
    </row>
    <row r="18" spans="1:16" ht="15.5" x14ac:dyDescent="0.35">
      <c r="A18" s="110" t="s">
        <v>274</v>
      </c>
      <c r="B18" s="111">
        <v>32.365204761904764</v>
      </c>
      <c r="C18" s="111">
        <v>36.078851249999992</v>
      </c>
      <c r="D18" s="111">
        <v>34.159547619047622</v>
      </c>
      <c r="E18" s="111">
        <v>36.353381818181809</v>
      </c>
      <c r="F18" s="111">
        <v>40.517199999999995</v>
      </c>
      <c r="G18" s="111">
        <v>39.149477272727275</v>
      </c>
      <c r="H18" s="111">
        <v>43.375466666666675</v>
      </c>
      <c r="I18" s="111">
        <v>38.898870000000002</v>
      </c>
      <c r="J18" s="111">
        <v>36.816215476190465</v>
      </c>
      <c r="K18" s="111">
        <v>40.96200249999999</v>
      </c>
      <c r="L18" s="111">
        <v>42.670598611111117</v>
      </c>
      <c r="M18" s="111">
        <v>49.27002045454546</v>
      </c>
      <c r="N18" s="112">
        <v>39.205833333333331</v>
      </c>
      <c r="O18" s="113" t="s">
        <v>270</v>
      </c>
      <c r="P18" s="116"/>
    </row>
    <row r="19" spans="1:16" ht="15.5" x14ac:dyDescent="0.35">
      <c r="A19" s="115" t="s">
        <v>275</v>
      </c>
      <c r="B19" s="111">
        <v>49.427602380952379</v>
      </c>
      <c r="C19" s="111">
        <v>46.995223684210522</v>
      </c>
      <c r="D19" s="111">
        <v>52.720745454545458</v>
      </c>
      <c r="E19" s="111">
        <v>55.008083333333325</v>
      </c>
      <c r="F19" s="111">
        <v>60.048336363636373</v>
      </c>
      <c r="G19" s="111">
        <v>59.739213636363637</v>
      </c>
      <c r="H19" s="111">
        <v>56.279061904761896</v>
      </c>
      <c r="I19" s="111">
        <v>53.143807500000001</v>
      </c>
      <c r="J19" s="111">
        <v>55.045628571428587</v>
      </c>
      <c r="K19" s="111">
        <v>60.54291666666667</v>
      </c>
      <c r="L19" s="111">
        <v>58.953329999999994</v>
      </c>
      <c r="M19" s="111">
        <v>60.011573913043478</v>
      </c>
      <c r="N19" s="112">
        <v>55.720000000000006</v>
      </c>
      <c r="O19" s="113" t="s">
        <v>276</v>
      </c>
      <c r="P19" s="116"/>
    </row>
    <row r="20" spans="1:16" ht="15.5" x14ac:dyDescent="0.35">
      <c r="A20" s="110" t="s">
        <v>277</v>
      </c>
      <c r="B20" s="111">
        <v>67.055031315789464</v>
      </c>
      <c r="C20" s="111">
        <v>67.22359075</v>
      </c>
      <c r="D20" s="111">
        <v>66.897534999999976</v>
      </c>
      <c r="E20" s="111">
        <v>71.285795238095261</v>
      </c>
      <c r="F20" s="111">
        <v>70.775921818181828</v>
      </c>
      <c r="G20" s="111">
        <v>60.933454285714276</v>
      </c>
      <c r="H20" s="111">
        <v>57.270684761904761</v>
      </c>
      <c r="I20" s="111">
        <v>57.793637500000003</v>
      </c>
      <c r="J20" s="111">
        <v>60.34467149999999</v>
      </c>
      <c r="K20" s="111">
        <v>52.529441428571438</v>
      </c>
      <c r="L20" s="111">
        <v>56.531044722222227</v>
      </c>
      <c r="M20" s="111">
        <v>60.262107954545442</v>
      </c>
      <c r="N20" s="112">
        <v>62.46</v>
      </c>
      <c r="O20" s="113" t="s">
        <v>278</v>
      </c>
      <c r="P20" s="116"/>
    </row>
    <row r="21" spans="1:16" ht="15.5" x14ac:dyDescent="0.35">
      <c r="A21" s="115" t="s">
        <v>279</v>
      </c>
      <c r="B21" s="111">
        <v>65.481951250000009</v>
      </c>
      <c r="C21" s="111">
        <v>65.695437249999983</v>
      </c>
      <c r="D21" s="111">
        <v>68.099250714285716</v>
      </c>
      <c r="E21" s="111">
        <v>72.575061818181794</v>
      </c>
      <c r="F21" s="111">
        <v>68.982336590909085</v>
      </c>
      <c r="G21" s="111">
        <v>74.776604250000005</v>
      </c>
      <c r="H21" s="111">
        <v>79.327164347826084</v>
      </c>
      <c r="I21" s="111">
        <v>89.107013571428567</v>
      </c>
      <c r="J21" s="111">
        <v>87.921265000000034</v>
      </c>
      <c r="K21" s="111">
        <v>89.517554090909101</v>
      </c>
      <c r="L21" s="111">
        <v>92.374237368421049</v>
      </c>
      <c r="M21" s="111">
        <v>99.759819499999978</v>
      </c>
      <c r="N21" s="112">
        <v>79.249166666666667</v>
      </c>
      <c r="O21" s="113" t="s">
        <v>280</v>
      </c>
      <c r="P21" s="116"/>
    </row>
    <row r="22" spans="1:16" ht="15.5" x14ac:dyDescent="0.35">
      <c r="A22" s="110" t="s">
        <v>281</v>
      </c>
      <c r="B22" s="111">
        <v>105.72015318181816</v>
      </c>
      <c r="C22" s="111">
        <v>120.90896144736843</v>
      </c>
      <c r="D22" s="111">
        <v>129.71535511904762</v>
      </c>
      <c r="E22" s="111">
        <v>132.47124826086957</v>
      </c>
      <c r="F22" s="111">
        <v>113.05438523809524</v>
      </c>
      <c r="G22" s="111">
        <v>96.812891590909103</v>
      </c>
      <c r="H22" s="111">
        <v>69.121526666666668</v>
      </c>
      <c r="I22" s="111">
        <v>50.907636000000011</v>
      </c>
      <c r="J22" s="111">
        <v>40.61143324999999</v>
      </c>
      <c r="K22" s="111">
        <v>43.986057631578959</v>
      </c>
      <c r="L22" s="111">
        <v>43.217028000000006</v>
      </c>
      <c r="M22" s="111">
        <v>46.021762045454544</v>
      </c>
      <c r="N22" s="112">
        <v>83.566666666666663</v>
      </c>
      <c r="O22" s="113" t="s">
        <v>282</v>
      </c>
      <c r="P22" s="116"/>
    </row>
    <row r="23" spans="1:16" ht="15.5" x14ac:dyDescent="0.35">
      <c r="A23" s="115" t="s">
        <v>283</v>
      </c>
      <c r="B23" s="111">
        <v>50.135601875000006</v>
      </c>
      <c r="C23" s="111">
        <v>58.003360416666673</v>
      </c>
      <c r="D23" s="111">
        <v>69.115276136363633</v>
      </c>
      <c r="E23" s="111">
        <v>64.82460978260869</v>
      </c>
      <c r="F23" s="111">
        <v>71.979192105263166</v>
      </c>
      <c r="G23" s="111">
        <v>67.701650000000001</v>
      </c>
      <c r="H23" s="111">
        <v>73.064288636363642</v>
      </c>
      <c r="I23" s="111">
        <v>77.390866249999959</v>
      </c>
      <c r="J23" s="111">
        <v>75.01622261904761</v>
      </c>
      <c r="K23" s="111">
        <v>76.608826250000021</v>
      </c>
      <c r="L23" s="111">
        <v>73.694277777777771</v>
      </c>
      <c r="M23" s="111">
        <v>78.018300000000025</v>
      </c>
      <c r="N23" s="112">
        <v>69.762270040485845</v>
      </c>
      <c r="O23" s="113" t="s">
        <v>284</v>
      </c>
      <c r="P23" s="116"/>
    </row>
    <row r="24" spans="1:16" ht="15.5" x14ac:dyDescent="0.35">
      <c r="A24" s="115" t="s">
        <v>285</v>
      </c>
      <c r="B24" s="111">
        <v>84.08172900000001</v>
      </c>
      <c r="C24" s="111">
        <v>76.161427777777774</v>
      </c>
      <c r="D24" s="111">
        <v>74.331090000000003</v>
      </c>
      <c r="E24" s="111">
        <v>73.543052272727266</v>
      </c>
      <c r="F24" s="111">
        <v>75.126988999999995</v>
      </c>
      <c r="G24" s="111">
        <v>76.092999999999989</v>
      </c>
      <c r="H24" s="111">
        <v>81.109814285714293</v>
      </c>
      <c r="I24" s="111">
        <v>84.255698500000008</v>
      </c>
      <c r="J24" s="111">
        <v>89.772982380952385</v>
      </c>
      <c r="K24" s="111">
        <v>93.868447999999987</v>
      </c>
      <c r="L24" s="111">
        <v>101.62099944444444</v>
      </c>
      <c r="M24" s="111">
        <v>110.71446956521741</v>
      </c>
      <c r="N24" s="112">
        <v>85.09</v>
      </c>
      <c r="O24" s="113" t="s">
        <v>286</v>
      </c>
      <c r="P24" s="116"/>
    </row>
    <row r="25" spans="1:16" ht="15.5" x14ac:dyDescent="0.35">
      <c r="A25" s="115" t="s">
        <v>287</v>
      </c>
      <c r="B25" s="111">
        <v>118.63579277777778</v>
      </c>
      <c r="C25" s="111">
        <v>110.80254368421052</v>
      </c>
      <c r="D25" s="111">
        <v>109.99406772727275</v>
      </c>
      <c r="E25" s="111">
        <v>112.52711428571428</v>
      </c>
      <c r="F25" s="111">
        <v>106.93536000000002</v>
      </c>
      <c r="G25" s="111">
        <v>108.79064681818183</v>
      </c>
      <c r="H25" s="111">
        <v>106.10836949999998</v>
      </c>
      <c r="I25" s="111">
        <v>109.61574428571427</v>
      </c>
      <c r="J25" s="111">
        <v>107.19388799999999</v>
      </c>
      <c r="K25" s="111">
        <v>110.46828473684211</v>
      </c>
      <c r="L25" s="111">
        <v>117.66619714285711</v>
      </c>
      <c r="M25" s="111">
        <v>123.61055818181818</v>
      </c>
      <c r="N25" s="112">
        <v>111.89</v>
      </c>
      <c r="O25" s="113" t="s">
        <v>288</v>
      </c>
      <c r="P25" s="116"/>
    </row>
    <row r="26" spans="1:16" ht="15.5" x14ac:dyDescent="0.35">
      <c r="A26" s="115" t="s">
        <v>289</v>
      </c>
      <c r="B26" s="111">
        <v>117.97451263157893</v>
      </c>
      <c r="C26" s="111">
        <v>108.05380666666667</v>
      </c>
      <c r="D26" s="111">
        <v>94.507602631578962</v>
      </c>
      <c r="E26" s="111">
        <v>100.33814000000001</v>
      </c>
      <c r="F26" s="111">
        <v>110.06828299999999</v>
      </c>
      <c r="G26" s="111">
        <v>111.77087950000001</v>
      </c>
      <c r="H26" s="111">
        <v>109.78858409090908</v>
      </c>
      <c r="I26" s="111">
        <v>107.87074714285717</v>
      </c>
      <c r="J26" s="111">
        <v>107.28096684210526</v>
      </c>
      <c r="K26" s="111">
        <v>109.55123681818182</v>
      </c>
      <c r="L26" s="111">
        <v>112.67557388888889</v>
      </c>
      <c r="M26" s="111">
        <v>106.44967000000001</v>
      </c>
      <c r="N26" s="112">
        <v>107.97</v>
      </c>
      <c r="O26" s="113" t="s">
        <v>290</v>
      </c>
      <c r="P26" s="116"/>
    </row>
    <row r="27" spans="1:16" ht="15.5" x14ac:dyDescent="0.35">
      <c r="A27" s="110" t="s">
        <v>291</v>
      </c>
      <c r="B27" s="111">
        <v>101.57480404761903</v>
      </c>
      <c r="C27" s="111">
        <v>101.09704973684211</v>
      </c>
      <c r="D27" s="111">
        <v>101.11112850000002</v>
      </c>
      <c r="E27" s="111">
        <v>104.85975108695654</v>
      </c>
      <c r="F27" s="111">
        <v>108.45469894736839</v>
      </c>
      <c r="G27" s="111">
        <v>109.46571142857142</v>
      </c>
      <c r="H27" s="111">
        <v>107.37352068181818</v>
      </c>
      <c r="I27" s="111">
        <v>106.55480452380951</v>
      </c>
      <c r="J27" s="111">
        <v>108.71841975000002</v>
      </c>
      <c r="K27" s="111">
        <v>105.29499857142855</v>
      </c>
      <c r="L27" s="111">
        <v>106.18825474999998</v>
      </c>
      <c r="M27" s="111">
        <v>105.29528785714285</v>
      </c>
      <c r="N27" s="112">
        <v>105.52</v>
      </c>
      <c r="O27" s="113" t="s">
        <v>292</v>
      </c>
      <c r="P27" s="104"/>
    </row>
    <row r="28" spans="1:16" ht="15.5" x14ac:dyDescent="0.35">
      <c r="A28" s="110" t="s">
        <v>293</v>
      </c>
      <c r="B28" s="111">
        <v>105.55533930000001</v>
      </c>
      <c r="C28" s="111">
        <v>106.85322644444446</v>
      </c>
      <c r="D28" s="111">
        <v>109.0539181904762</v>
      </c>
      <c r="E28" s="111">
        <v>106.2961561818182</v>
      </c>
      <c r="F28" s="111">
        <v>101.89198810000001</v>
      </c>
      <c r="G28" s="111">
        <v>96.959094045454563</v>
      </c>
      <c r="H28" s="111">
        <v>86.827638380952408</v>
      </c>
      <c r="I28" s="111">
        <v>77.581451350000009</v>
      </c>
      <c r="J28" s="111">
        <v>61.211098238095246</v>
      </c>
      <c r="K28" s="111">
        <v>46.586617428571437</v>
      </c>
      <c r="L28" s="111">
        <v>56.430382166666682</v>
      </c>
      <c r="M28" s="111">
        <v>55.176776090909101</v>
      </c>
      <c r="N28" s="112">
        <v>84.156300105691088</v>
      </c>
      <c r="O28" s="113" t="s">
        <v>294</v>
      </c>
      <c r="P28" s="104"/>
    </row>
    <row r="29" spans="1:16" ht="15.5" x14ac:dyDescent="0.35">
      <c r="A29" s="110" t="s">
        <v>295</v>
      </c>
      <c r="B29" s="111">
        <v>59.070307599999992</v>
      </c>
      <c r="C29" s="111">
        <v>63.821381000000002</v>
      </c>
      <c r="D29" s="111">
        <v>61.745464190476184</v>
      </c>
      <c r="E29" s="111">
        <v>56.300030227272721</v>
      </c>
      <c r="F29" s="111">
        <v>47.327433333333339</v>
      </c>
      <c r="G29" s="111">
        <v>46.104868599999996</v>
      </c>
      <c r="H29" s="111">
        <v>46.675260727272715</v>
      </c>
      <c r="I29" s="111">
        <v>42.504005149999998</v>
      </c>
      <c r="J29" s="111">
        <v>35.680888380952382</v>
      </c>
      <c r="K29" s="111">
        <v>28.078798200000005</v>
      </c>
      <c r="L29" s="111">
        <v>30.525591894736845</v>
      </c>
      <c r="M29" s="111">
        <v>36.421309142857147</v>
      </c>
      <c r="N29" s="112">
        <v>46.16562723966944</v>
      </c>
      <c r="O29" s="113" t="s">
        <v>296</v>
      </c>
      <c r="P29" s="104"/>
    </row>
    <row r="30" spans="1:16" ht="15.5" x14ac:dyDescent="0.35">
      <c r="A30" s="110" t="s">
        <v>297</v>
      </c>
      <c r="B30" s="111">
        <v>39.879094571428574</v>
      </c>
      <c r="C30" s="111">
        <v>45.006805849999999</v>
      </c>
      <c r="D30" s="111">
        <v>46.963111931818183</v>
      </c>
      <c r="E30" s="111">
        <v>43.519136674999999</v>
      </c>
      <c r="F30" s="111">
        <v>44.384978928571435</v>
      </c>
      <c r="G30" s="111">
        <v>44.480860166666659</v>
      </c>
      <c r="H30" s="111">
        <v>49.252621083333331</v>
      </c>
      <c r="I30" s="111">
        <v>44.456194318181822</v>
      </c>
      <c r="J30" s="111">
        <v>52.735649124999995</v>
      </c>
      <c r="K30" s="111">
        <v>54.077528250000015</v>
      </c>
      <c r="L30" s="111">
        <v>54.86268470000001</v>
      </c>
      <c r="M30" s="111">
        <v>51.469629652173914</v>
      </c>
      <c r="N30" s="112">
        <v>47.557812594621531</v>
      </c>
      <c r="O30" s="113" t="s">
        <v>298</v>
      </c>
      <c r="P30" s="104"/>
    </row>
    <row r="31" spans="1:16" ht="15.5" x14ac:dyDescent="0.35">
      <c r="A31" s="110" t="s">
        <v>299</v>
      </c>
      <c r="B31" s="111">
        <v>52.490691055555551</v>
      </c>
      <c r="C31" s="111">
        <v>50.567623025000003</v>
      </c>
      <c r="D31" s="111">
        <v>46.555774</v>
      </c>
      <c r="E31" s="111">
        <v>47.857632880952387</v>
      </c>
      <c r="F31" s="111">
        <v>50.633570880952391</v>
      </c>
      <c r="G31" s="111">
        <v>54.523307750000001</v>
      </c>
      <c r="H31" s="111">
        <v>56.059518095238097</v>
      </c>
      <c r="I31" s="111">
        <v>61.315904545454551</v>
      </c>
      <c r="J31" s="111">
        <v>62.290080157894742</v>
      </c>
      <c r="K31" s="111">
        <v>67.060153386363623</v>
      </c>
      <c r="L31" s="111">
        <v>63.537335763157884</v>
      </c>
      <c r="M31" s="111">
        <v>63.795413214285702</v>
      </c>
      <c r="N31" s="112">
        <v>56.426878865306136</v>
      </c>
      <c r="O31" s="113" t="s">
        <v>300</v>
      </c>
      <c r="P31" s="104"/>
    </row>
    <row r="32" spans="1:16" ht="15.5" x14ac:dyDescent="0.35">
      <c r="A32" s="110" t="s">
        <v>109</v>
      </c>
      <c r="B32" s="111">
        <v>69.219098437499994</v>
      </c>
      <c r="C32" s="111">
        <v>75.252045250000009</v>
      </c>
      <c r="D32" s="111">
        <v>73.825793025000024</v>
      </c>
      <c r="E32" s="111">
        <v>73.468274863636353</v>
      </c>
      <c r="F32" s="111">
        <v>72.5347376</v>
      </c>
      <c r="G32" s="111">
        <v>77.883389637499988</v>
      </c>
      <c r="H32" s="111">
        <v>80.082670250000007</v>
      </c>
      <c r="I32" s="111">
        <v>65.399219369047628</v>
      </c>
      <c r="J32" s="111">
        <v>57.772638352941186</v>
      </c>
      <c r="K32" s="111">
        <v>59.26800257954546</v>
      </c>
      <c r="L32" s="111">
        <v>64.534530625000002</v>
      </c>
      <c r="M32" s="111">
        <v>66.739999999999995</v>
      </c>
      <c r="N32" s="112">
        <v>69.88</v>
      </c>
      <c r="O32" s="113" t="s">
        <v>301</v>
      </c>
      <c r="P32" s="104"/>
    </row>
    <row r="33" spans="1:16" ht="15.5" x14ac:dyDescent="0.35">
      <c r="A33" s="110" t="s">
        <v>302</v>
      </c>
      <c r="B33" s="111">
        <v>71.000922499999987</v>
      </c>
      <c r="C33" s="111">
        <v>70.013724342105249</v>
      </c>
      <c r="D33" s="111">
        <v>62.374424999999988</v>
      </c>
      <c r="E33" s="111">
        <v>63.627010326086953</v>
      </c>
      <c r="F33" s="111">
        <v>59.349817105263163</v>
      </c>
      <c r="G33" s="111">
        <v>61.723273214285719</v>
      </c>
      <c r="H33" s="111">
        <v>59.703420454545466</v>
      </c>
      <c r="I33" s="111">
        <v>62.53257261904762</v>
      </c>
      <c r="J33" s="111">
        <v>65.502042500000016</v>
      </c>
      <c r="K33" s="111">
        <v>64.309747023809535</v>
      </c>
      <c r="L33" s="111">
        <v>54.627359999999996</v>
      </c>
      <c r="M33" s="111">
        <v>33.358738068181822</v>
      </c>
      <c r="N33" s="112">
        <v>60.470826062752998</v>
      </c>
      <c r="O33" s="113" t="s">
        <v>303</v>
      </c>
      <c r="P33" s="104"/>
    </row>
    <row r="34" spans="1:16" ht="15.5" x14ac:dyDescent="0.35">
      <c r="A34" s="110" t="s">
        <v>304</v>
      </c>
      <c r="B34" s="111">
        <v>19.901683749999997</v>
      </c>
      <c r="C34" s="111">
        <v>30.605539617647054</v>
      </c>
      <c r="D34" s="111">
        <v>40.633868636363637</v>
      </c>
      <c r="E34" s="111">
        <v>43.347552547619046</v>
      </c>
      <c r="F34" s="111">
        <v>44.190017605263151</v>
      </c>
      <c r="G34" s="111">
        <v>41.35410665909091</v>
      </c>
      <c r="H34" s="111">
        <v>40.658228000000001</v>
      </c>
      <c r="I34" s="111">
        <v>43.340640499999999</v>
      </c>
      <c r="J34" s="122">
        <v>49.839816952380943</v>
      </c>
      <c r="K34" s="122">
        <v>54.794569624999994</v>
      </c>
      <c r="L34" s="122">
        <v>61.216117289473672</v>
      </c>
      <c r="M34" s="122">
        <v>64.729496782608663</v>
      </c>
      <c r="N34" s="112">
        <v>44.821938917004019</v>
      </c>
      <c r="O34" s="113" t="s">
        <v>305</v>
      </c>
      <c r="P34" s="104"/>
    </row>
    <row r="35" spans="1:16" ht="15.5" x14ac:dyDescent="0.35">
      <c r="A35" s="110" t="s">
        <v>306</v>
      </c>
      <c r="B35" s="122">
        <v>63.396976500000008</v>
      </c>
      <c r="C35" s="122">
        <v>66.953084852941174</v>
      </c>
      <c r="D35" s="122">
        <v>71.982647477272721</v>
      </c>
      <c r="E35" s="122">
        <v>73.539060523809511</v>
      </c>
      <c r="F35" s="122">
        <v>69.804724424999989</v>
      </c>
      <c r="G35" s="122">
        <v>73.130738295454549</v>
      </c>
      <c r="H35" s="122">
        <v>82.107393785714294</v>
      </c>
      <c r="I35" s="122">
        <v>80.637301023809528</v>
      </c>
      <c r="J35" s="122">
        <v>73.298823523809531</v>
      </c>
      <c r="K35" s="122">
        <v>84.666318799999985</v>
      </c>
      <c r="L35" s="122">
        <v>94.067715194444446</v>
      </c>
      <c r="M35" s="122">
        <v>112.87479254347826</v>
      </c>
      <c r="N35" s="112">
        <v>79.181425130081294</v>
      </c>
      <c r="O35" s="113" t="s">
        <v>305</v>
      </c>
      <c r="P35" s="104"/>
    </row>
    <row r="36" spans="1:16" ht="15.5" x14ac:dyDescent="0.35">
      <c r="A36" s="110" t="s">
        <v>307</v>
      </c>
      <c r="B36" s="122">
        <v>102.96599786842103</v>
      </c>
      <c r="C36" s="122">
        <v>109.50503773684208</v>
      </c>
      <c r="D36" s="122">
        <v>116.01138504999999</v>
      </c>
      <c r="E36" s="122">
        <v>105.49124737500001</v>
      </c>
      <c r="F36" s="122">
        <v>97.404465428571427</v>
      </c>
      <c r="G36" s="122">
        <v>90.706344809523813</v>
      </c>
      <c r="H36" s="122">
        <v>91.698948700000003</v>
      </c>
      <c r="I36" s="122">
        <v>87.552266068181822</v>
      </c>
      <c r="J36" s="122">
        <v>78.100942275000008</v>
      </c>
      <c r="K36" s="122">
        <v>80.922269684210534</v>
      </c>
      <c r="L36" s="122">
        <v>82.278706675000009</v>
      </c>
      <c r="M36" s="122">
        <v>78.539480282608693</v>
      </c>
      <c r="N36" s="112">
        <v>93.151566872950767</v>
      </c>
      <c r="O36" s="113" t="s">
        <v>305</v>
      </c>
      <c r="P36" s="104"/>
    </row>
    <row r="37" spans="1:16" ht="15.5" x14ac:dyDescent="0.35">
      <c r="A37" s="110" t="s">
        <v>308</v>
      </c>
      <c r="B37" s="122">
        <v>83.755358416666667</v>
      </c>
      <c r="C37" s="122">
        <v>74.981547824999993</v>
      </c>
      <c r="D37" s="111">
        <v>74.928252024999992</v>
      </c>
      <c r="E37" s="111">
        <v>80.368492428571415</v>
      </c>
      <c r="F37" s="111">
        <v>86.426703761904761</v>
      </c>
      <c r="G37" s="111">
        <v>93.539339400000003</v>
      </c>
      <c r="H37" s="111">
        <v>90.080343022727263</v>
      </c>
      <c r="I37" s="111">
        <v>83.455368214285699</v>
      </c>
      <c r="J37" s="111">
        <v>77.419721631578938</v>
      </c>
      <c r="K37" s="111">
        <v>79.216541545454547</v>
      </c>
      <c r="L37" s="111">
        <v>81.621881399999992</v>
      </c>
      <c r="M37" s="111">
        <v>84.486883150000011</v>
      </c>
      <c r="N37" s="112">
        <v>82.580010456967216</v>
      </c>
      <c r="O37" s="113" t="s">
        <v>305</v>
      </c>
      <c r="P37" s="104"/>
    </row>
    <row r="38" spans="1:16" ht="15.5" x14ac:dyDescent="0.35">
      <c r="A38" s="110" t="s">
        <v>309</v>
      </c>
      <c r="B38" s="111">
        <v>89.437476250000003</v>
      </c>
      <c r="C38" s="111">
        <v>83.624938157894732</v>
      </c>
      <c r="D38" s="111">
        <v>82.552871052631588</v>
      </c>
      <c r="E38" s="111">
        <v>84.148165217391295</v>
      </c>
      <c r="F38" s="111">
        <v>78.270687499999994</v>
      </c>
      <c r="G38" s="111">
        <v>73.694888690476205</v>
      </c>
      <c r="H38" s="111">
        <v>75.124704545454534</v>
      </c>
      <c r="I38" s="111">
        <v>73.016986904761893</v>
      </c>
      <c r="J38" s="111">
        <v>73.336846874999978</v>
      </c>
      <c r="K38" s="111">
        <v>80.196197499999997</v>
      </c>
      <c r="L38" s="111">
        <v>77.328566875000007</v>
      </c>
      <c r="M38" s="111">
        <v>72.466606250000012</v>
      </c>
      <c r="N38" s="112">
        <v>78.560027295918331</v>
      </c>
      <c r="O38" s="113" t="s">
        <v>310</v>
      </c>
      <c r="P38" s="104"/>
    </row>
    <row r="39" spans="1:16" ht="15.5" x14ac:dyDescent="0.35">
      <c r="A39" s="117" t="s">
        <v>311</v>
      </c>
      <c r="B39" s="118"/>
      <c r="C39" s="118"/>
      <c r="D39" s="118"/>
      <c r="E39" s="118"/>
      <c r="F39" s="118"/>
      <c r="G39" s="119"/>
      <c r="H39" s="119"/>
      <c r="I39" s="119"/>
      <c r="J39" s="119"/>
      <c r="K39" s="119"/>
      <c r="L39" s="119"/>
      <c r="M39" s="119"/>
      <c r="N39" s="104"/>
      <c r="O39" s="104"/>
      <c r="P39" s="104"/>
    </row>
    <row r="40" spans="1:16" ht="15.5" x14ac:dyDescent="0.35">
      <c r="A40" s="166" t="s">
        <v>312</v>
      </c>
      <c r="B40" s="166"/>
      <c r="C40" s="166"/>
      <c r="D40" s="166"/>
      <c r="E40" s="166"/>
      <c r="F40" s="166"/>
      <c r="G40" s="166"/>
      <c r="H40" s="166"/>
      <c r="I40" s="166"/>
      <c r="J40" s="166"/>
      <c r="K40" s="166"/>
      <c r="L40" s="166"/>
      <c r="M40" s="166"/>
      <c r="N40" s="166"/>
      <c r="O40" s="166"/>
      <c r="P40" s="104"/>
    </row>
    <row r="41" spans="1:16" ht="15.5" x14ac:dyDescent="0.35">
      <c r="A41" s="166" t="s">
        <v>313</v>
      </c>
      <c r="B41" s="166"/>
      <c r="C41" s="166"/>
      <c r="D41" s="166"/>
      <c r="E41" s="166"/>
      <c r="F41" s="166"/>
      <c r="G41" s="166"/>
      <c r="H41" s="166"/>
      <c r="I41" s="166"/>
      <c r="J41" s="166"/>
      <c r="K41" s="166"/>
      <c r="L41" s="166"/>
      <c r="M41" s="166"/>
      <c r="N41" s="166"/>
      <c r="O41" s="166"/>
      <c r="P41" s="104"/>
    </row>
    <row r="42" spans="1:16" ht="15.5" x14ac:dyDescent="0.35">
      <c r="A42" s="120"/>
      <c r="B42" s="104"/>
      <c r="C42" s="104"/>
      <c r="D42" s="104"/>
      <c r="E42" s="104"/>
      <c r="F42" s="104"/>
      <c r="G42" s="104"/>
      <c r="H42" s="104"/>
      <c r="I42" s="104"/>
      <c r="J42" s="104"/>
      <c r="K42" s="104"/>
      <c r="L42" s="104"/>
      <c r="M42" s="104"/>
      <c r="N42" s="104"/>
      <c r="O42" s="104"/>
      <c r="P42" s="104"/>
    </row>
  </sheetData>
  <mergeCells count="4">
    <mergeCell ref="A2:O2"/>
    <mergeCell ref="A8:O8"/>
    <mergeCell ref="A40:O40"/>
    <mergeCell ref="A41:O4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87C8-B753-49FA-A1E0-EAA3CD136434}">
  <dimension ref="B4:BM85"/>
  <sheetViews>
    <sheetView topLeftCell="A30" zoomScale="66" workbookViewId="0">
      <selection activeCell="Q34" sqref="Q34"/>
    </sheetView>
  </sheetViews>
  <sheetFormatPr defaultRowHeight="14.5" x14ac:dyDescent="0.35"/>
  <cols>
    <col min="2" max="2" width="11.08984375" customWidth="1"/>
    <col min="7" max="11" width="12.26953125" customWidth="1"/>
    <col min="12" max="12" width="17.81640625" bestFit="1" customWidth="1"/>
    <col min="13" max="13" width="11.453125" bestFit="1" customWidth="1"/>
    <col min="14" max="14" width="12.26953125" bestFit="1" customWidth="1"/>
    <col min="15" max="15" width="17.81640625" bestFit="1" customWidth="1"/>
    <col min="16" max="16" width="11.453125" bestFit="1" customWidth="1"/>
    <col min="22" max="22" width="11.1796875" customWidth="1"/>
    <col min="37" max="37" width="30.26953125" customWidth="1"/>
    <col min="38" max="38" width="12" customWidth="1"/>
    <col min="39" max="39" width="11.453125" customWidth="1"/>
    <col min="40" max="40" width="13.1796875" customWidth="1"/>
    <col min="50" max="50" width="11.54296875" bestFit="1" customWidth="1"/>
    <col min="51" max="51" width="11.7265625" customWidth="1"/>
    <col min="52" max="52" width="18.453125" bestFit="1" customWidth="1"/>
    <col min="53" max="53" width="18.6328125" bestFit="1" customWidth="1"/>
    <col min="54" max="54" width="18.453125" bestFit="1" customWidth="1"/>
    <col min="55" max="55" width="18.6328125" bestFit="1" customWidth="1"/>
    <col min="59" max="59" width="18.6328125" bestFit="1" customWidth="1"/>
  </cols>
  <sheetData>
    <row r="4" spans="2:65" x14ac:dyDescent="0.35">
      <c r="B4" s="84" t="s">
        <v>76</v>
      </c>
      <c r="J4" s="83" t="s">
        <v>258</v>
      </c>
      <c r="V4" s="83" t="s">
        <v>120</v>
      </c>
      <c r="AJ4" s="83" t="s">
        <v>141</v>
      </c>
    </row>
    <row r="6" spans="2:65" ht="17.5" x14ac:dyDescent="0.35">
      <c r="J6" s="12" t="s">
        <v>73</v>
      </c>
      <c r="K6" s="12" t="s">
        <v>71</v>
      </c>
      <c r="L6" s="12" t="s">
        <v>70</v>
      </c>
      <c r="M6" s="12" t="s">
        <v>74</v>
      </c>
      <c r="N6" s="12" t="s">
        <v>71</v>
      </c>
      <c r="O6" s="12" t="s">
        <v>70</v>
      </c>
      <c r="P6" s="12" t="s">
        <v>74</v>
      </c>
      <c r="V6" s="1" t="s">
        <v>121</v>
      </c>
      <c r="W6" s="25" t="s">
        <v>119</v>
      </c>
      <c r="AX6" s="83" t="s">
        <v>156</v>
      </c>
      <c r="BM6" t="s">
        <v>315</v>
      </c>
    </row>
    <row r="7" spans="2:65" x14ac:dyDescent="0.35">
      <c r="B7" s="167" t="s">
        <v>77</v>
      </c>
      <c r="C7" s="167"/>
      <c r="D7" s="167"/>
      <c r="E7" s="167"/>
      <c r="F7" s="167"/>
      <c r="G7" s="22"/>
      <c r="H7" s="22"/>
      <c r="I7" s="22"/>
      <c r="J7" s="10" t="s">
        <v>61</v>
      </c>
      <c r="K7" s="10">
        <v>863.90000000000009</v>
      </c>
      <c r="L7" s="10">
        <v>895.1</v>
      </c>
      <c r="M7" s="10">
        <v>919.90000000000009</v>
      </c>
      <c r="N7" s="16">
        <v>0.18614923829429639</v>
      </c>
      <c r="O7" s="16">
        <v>0.19231265039532489</v>
      </c>
      <c r="P7" s="16">
        <v>0.20447674935538362</v>
      </c>
      <c r="AJ7" t="s">
        <v>142</v>
      </c>
      <c r="AZ7" t="s">
        <v>158</v>
      </c>
    </row>
    <row r="8" spans="2:65" ht="15.5" x14ac:dyDescent="0.35">
      <c r="B8" s="22"/>
      <c r="C8" s="22"/>
      <c r="D8" s="22"/>
      <c r="E8" s="22"/>
      <c r="F8" s="22"/>
      <c r="G8" s="22"/>
      <c r="H8" s="22"/>
      <c r="I8" s="22"/>
      <c r="J8" s="10" t="s">
        <v>59</v>
      </c>
      <c r="K8" s="10">
        <v>2335.1</v>
      </c>
      <c r="L8" s="10">
        <v>2306.9</v>
      </c>
      <c r="M8" s="10">
        <v>2290.7000000000007</v>
      </c>
      <c r="N8" s="16">
        <v>0.50315671529229244</v>
      </c>
      <c r="O8" s="16">
        <v>0.49563853557923693</v>
      </c>
      <c r="P8" s="16">
        <v>0.50918022583800127</v>
      </c>
      <c r="V8" s="80" t="s">
        <v>122</v>
      </c>
      <c r="BM8" t="s">
        <v>320</v>
      </c>
    </row>
    <row r="9" spans="2:65" x14ac:dyDescent="0.35">
      <c r="B9" s="22" t="s">
        <v>49</v>
      </c>
      <c r="C9" s="22"/>
      <c r="D9" s="22"/>
      <c r="E9" s="22"/>
      <c r="F9" s="22"/>
      <c r="G9" s="22"/>
      <c r="H9" s="22"/>
      <c r="I9" s="22"/>
      <c r="J9" s="10" t="s">
        <v>23</v>
      </c>
      <c r="K9" s="10">
        <v>182.2</v>
      </c>
      <c r="L9" s="10">
        <v>185.7</v>
      </c>
      <c r="M9" s="10">
        <v>187.8</v>
      </c>
      <c r="N9" s="16">
        <v>3.9259626365575645E-2</v>
      </c>
      <c r="O9" s="16">
        <v>3.9897731179099345E-2</v>
      </c>
      <c r="P9" s="16">
        <v>4.174446519071752E-2</v>
      </c>
      <c r="V9" s="24"/>
      <c r="AJ9" t="s">
        <v>143</v>
      </c>
      <c r="AX9" s="95" t="s">
        <v>0</v>
      </c>
      <c r="AY9" s="95" t="s">
        <v>93</v>
      </c>
      <c r="AZ9" s="95" t="s">
        <v>103</v>
      </c>
      <c r="BA9" s="95" t="s">
        <v>102</v>
      </c>
      <c r="BB9" s="95" t="s">
        <v>97</v>
      </c>
      <c r="BC9" s="95" t="s">
        <v>98</v>
      </c>
      <c r="BD9" s="95" t="s">
        <v>99</v>
      </c>
      <c r="BE9" s="95" t="s">
        <v>100</v>
      </c>
      <c r="BF9" s="95" t="s">
        <v>104</v>
      </c>
      <c r="BG9" s="101" t="s">
        <v>105</v>
      </c>
      <c r="BM9" t="s">
        <v>316</v>
      </c>
    </row>
    <row r="10" spans="2:65" x14ac:dyDescent="0.35">
      <c r="B10" s="22" t="s">
        <v>80</v>
      </c>
      <c r="C10" s="22"/>
      <c r="D10" s="22"/>
      <c r="E10" s="22"/>
      <c r="F10" s="22"/>
      <c r="G10" s="22"/>
      <c r="H10" s="22"/>
      <c r="I10" s="22"/>
      <c r="J10" s="10" t="s">
        <v>62</v>
      </c>
      <c r="K10" s="10">
        <v>353.5</v>
      </c>
      <c r="L10" s="10">
        <v>358</v>
      </c>
      <c r="M10" s="10">
        <v>362.3</v>
      </c>
      <c r="N10" s="16">
        <v>7.6170570363507079E-2</v>
      </c>
      <c r="O10" s="16">
        <v>7.6916466139566861E-2</v>
      </c>
      <c r="P10" s="16">
        <v>8.0532586467502429E-2</v>
      </c>
      <c r="V10" s="23" t="s">
        <v>123</v>
      </c>
      <c r="AJ10" t="s">
        <v>145</v>
      </c>
      <c r="AX10" s="95" t="s">
        <v>106</v>
      </c>
      <c r="AY10" s="95" t="s">
        <v>90</v>
      </c>
      <c r="AZ10" s="62">
        <v>1.2748278413294685E-2</v>
      </c>
      <c r="BA10" s="62">
        <v>-7.4878955072626699E-3</v>
      </c>
      <c r="BB10" s="62">
        <v>4.517835039945986E-2</v>
      </c>
      <c r="BC10" s="62">
        <v>5.1972846839204558E-3</v>
      </c>
      <c r="BD10" s="62">
        <v>2.4711528642908247E-2</v>
      </c>
      <c r="BE10" s="62">
        <v>-4.4908718148982223E-3</v>
      </c>
      <c r="BF10" s="62">
        <v>3.7740419553316258E-2</v>
      </c>
      <c r="BG10" s="102">
        <v>3.9990806711102155E-3</v>
      </c>
    </row>
    <row r="11" spans="2:65" x14ac:dyDescent="0.35">
      <c r="B11" s="167" t="s">
        <v>50</v>
      </c>
      <c r="C11" s="167"/>
      <c r="D11" s="167"/>
      <c r="E11" s="167"/>
      <c r="F11" s="167"/>
      <c r="G11" s="22"/>
      <c r="H11" s="22"/>
      <c r="I11" s="22"/>
      <c r="J11" s="86" t="s">
        <v>63</v>
      </c>
      <c r="K11" s="10">
        <v>175.6</v>
      </c>
      <c r="L11" s="10">
        <v>175.6</v>
      </c>
      <c r="M11" s="86">
        <v>0</v>
      </c>
      <c r="N11" s="16">
        <v>3.7837488418194745E-2</v>
      </c>
      <c r="O11" s="16">
        <v>3.7727741491921624E-2</v>
      </c>
      <c r="P11" s="16">
        <v>0</v>
      </c>
      <c r="V11" s="24"/>
      <c r="AJ11" t="s">
        <v>144</v>
      </c>
      <c r="AX11" s="95" t="s">
        <v>106</v>
      </c>
      <c r="AY11" s="95" t="s">
        <v>61</v>
      </c>
      <c r="AZ11" s="62">
        <v>2.350210358334549E-2</v>
      </c>
      <c r="BA11" s="62">
        <v>2.9690371836563504E-3</v>
      </c>
      <c r="BB11" s="62">
        <v>1.1251758087201125E-2</v>
      </c>
      <c r="BC11" s="62">
        <v>1.2220524927093553E-2</v>
      </c>
      <c r="BD11" s="62">
        <v>1.9522184300341389E-2</v>
      </c>
      <c r="BE11" s="62">
        <v>2.5076697345605001E-2</v>
      </c>
      <c r="BF11" s="62">
        <v>3.8107582631237966E-2</v>
      </c>
      <c r="BG11" s="102">
        <v>3.2013897505893979E-2</v>
      </c>
      <c r="BM11" t="s">
        <v>145</v>
      </c>
    </row>
    <row r="12" spans="2:65" x14ac:dyDescent="0.35">
      <c r="B12" s="22"/>
      <c r="C12" s="22"/>
      <c r="D12" s="22"/>
      <c r="E12" s="22"/>
      <c r="F12" s="22"/>
      <c r="G12" s="22"/>
      <c r="H12" s="22"/>
      <c r="I12" s="22"/>
      <c r="J12" s="10" t="s">
        <v>60</v>
      </c>
      <c r="K12" s="10">
        <v>559</v>
      </c>
      <c r="L12" s="10">
        <v>557.4</v>
      </c>
      <c r="M12" s="10">
        <v>558.6</v>
      </c>
      <c r="N12" s="16">
        <v>0.12045077463423044</v>
      </c>
      <c r="O12" s="16">
        <v>0.11975764867652114</v>
      </c>
      <c r="P12" s="16">
        <v>0.12416644438516936</v>
      </c>
      <c r="V12" s="24"/>
      <c r="AX12" s="95" t="s">
        <v>106</v>
      </c>
      <c r="AY12" s="95" t="s">
        <v>23</v>
      </c>
      <c r="AZ12" s="62">
        <v>2.3668639053254566E-2</v>
      </c>
      <c r="BA12" s="62">
        <v>2.8852920478536204E-2</v>
      </c>
      <c r="BB12" s="62">
        <v>1.6717843739338031E-2</v>
      </c>
      <c r="BC12" s="62">
        <v>1.941097724230258E-2</v>
      </c>
      <c r="BD12" s="62">
        <v>3.2514930325149342E-2</v>
      </c>
      <c r="BE12" s="62">
        <v>3.4548944337811749E-2</v>
      </c>
      <c r="BF12" s="62">
        <v>3.7584719654959915E-2</v>
      </c>
      <c r="BG12" s="102">
        <v>2.3063276167947993E-2</v>
      </c>
      <c r="BM12" t="s">
        <v>317</v>
      </c>
    </row>
    <row r="13" spans="2:65" x14ac:dyDescent="0.35">
      <c r="B13" s="167" t="s">
        <v>54</v>
      </c>
      <c r="C13" s="167"/>
      <c r="D13" s="22"/>
      <c r="E13" s="167" t="s">
        <v>51</v>
      </c>
      <c r="F13" s="167"/>
      <c r="G13" s="167"/>
      <c r="H13" s="21"/>
      <c r="I13" s="21"/>
      <c r="J13" s="10" t="s">
        <v>28</v>
      </c>
      <c r="K13" s="10">
        <v>171.6</v>
      </c>
      <c r="L13" s="10">
        <v>175.7</v>
      </c>
      <c r="M13" s="10">
        <v>179.5</v>
      </c>
      <c r="N13" s="16">
        <v>3.6975586631903298E-2</v>
      </c>
      <c r="O13" s="16">
        <v>3.7749226538329322E-2</v>
      </c>
      <c r="P13" s="16">
        <v>3.9899528763225736E-2</v>
      </c>
      <c r="V13" s="81"/>
      <c r="AX13" s="95" t="s">
        <v>30</v>
      </c>
      <c r="AY13" s="95" t="s">
        <v>90</v>
      </c>
      <c r="AZ13" s="62">
        <v>1.112359550561808E-2</v>
      </c>
      <c r="BA13" s="62">
        <v>-1.1783189316574893E-2</v>
      </c>
      <c r="BB13" s="62">
        <v>4.3490531425507135E-2</v>
      </c>
      <c r="BC13" s="62">
        <v>9.4304438169322009E-3</v>
      </c>
      <c r="BD13" s="62">
        <v>1.9162065605716087E-2</v>
      </c>
      <c r="BE13" s="62">
        <v>-2.5604411837116771E-3</v>
      </c>
      <c r="BF13" s="62">
        <v>4.1034398633813078E-2</v>
      </c>
      <c r="BG13" s="102">
        <v>6.8847611126515787E-3</v>
      </c>
      <c r="BM13" t="s">
        <v>318</v>
      </c>
    </row>
    <row r="14" spans="2:65" x14ac:dyDescent="0.35">
      <c r="B14" s="22"/>
      <c r="C14" s="22"/>
      <c r="D14" s="22"/>
      <c r="E14" s="167" t="s">
        <v>52</v>
      </c>
      <c r="F14" s="167"/>
      <c r="G14" s="167"/>
      <c r="H14" s="21"/>
      <c r="I14" s="21"/>
      <c r="J14" s="10" t="s">
        <v>72</v>
      </c>
      <c r="K14" s="10">
        <v>4640.8999999999996</v>
      </c>
      <c r="L14" s="10">
        <v>4654.3999999999996</v>
      </c>
      <c r="M14" s="10">
        <v>4498.8000000000011</v>
      </c>
      <c r="N14" s="16">
        <v>1</v>
      </c>
      <c r="O14" s="16">
        <v>1</v>
      </c>
      <c r="P14" s="16">
        <v>1</v>
      </c>
      <c r="V14" s="81" t="s">
        <v>124</v>
      </c>
      <c r="AX14" s="95" t="s">
        <v>30</v>
      </c>
      <c r="AY14" s="95" t="s">
        <v>61</v>
      </c>
      <c r="AZ14" s="62">
        <v>2.1784961349262121E-2</v>
      </c>
      <c r="BA14" s="62">
        <v>1.1881735285990637E-2</v>
      </c>
      <c r="BB14" s="62">
        <v>9.741808025069798E-3</v>
      </c>
      <c r="BC14" s="62">
        <v>1.1728228633054795E-2</v>
      </c>
      <c r="BD14" s="62">
        <v>1.4935925762262462E-2</v>
      </c>
      <c r="BE14" s="62">
        <v>2.3110880290833639E-2</v>
      </c>
      <c r="BF14" s="62">
        <v>4.194567277321562E-2</v>
      </c>
      <c r="BG14" s="102">
        <v>3.1065623118603333E-2</v>
      </c>
      <c r="BM14" t="s">
        <v>319</v>
      </c>
    </row>
    <row r="15" spans="2:65" ht="17.5" x14ac:dyDescent="0.35">
      <c r="B15" s="22"/>
      <c r="C15" s="22"/>
      <c r="D15" s="22"/>
      <c r="E15" s="22"/>
      <c r="F15" s="22"/>
      <c r="G15" s="22"/>
      <c r="H15" s="22"/>
      <c r="I15" s="22"/>
      <c r="J15" s="22"/>
      <c r="K15" s="22"/>
      <c r="L15" s="22"/>
      <c r="V15" s="81"/>
      <c r="AK15" t="s">
        <v>146</v>
      </c>
      <c r="AL15" s="25" t="s">
        <v>147</v>
      </c>
      <c r="AP15" s="2"/>
      <c r="AQ15" s="2"/>
      <c r="AR15" s="2"/>
      <c r="AS15" s="2"/>
      <c r="AX15" s="95" t="s">
        <v>30</v>
      </c>
      <c r="AY15" s="95" t="s">
        <v>23</v>
      </c>
      <c r="AZ15" s="62">
        <v>1.744186046511632E-2</v>
      </c>
      <c r="BA15" s="62">
        <v>3.8674033149171227E-2</v>
      </c>
      <c r="BB15" s="62">
        <v>1.6904209479615396E-2</v>
      </c>
      <c r="BC15" s="62">
        <v>1.9518542615484712E-2</v>
      </c>
      <c r="BD15" s="62">
        <v>3.1108230719377721E-2</v>
      </c>
      <c r="BE15" s="62">
        <v>3.1974921630094008E-2</v>
      </c>
      <c r="BF15" s="62">
        <v>3.992740471869325E-2</v>
      </c>
      <c r="BG15" s="102">
        <v>2.0289855072463767E-2</v>
      </c>
    </row>
    <row r="16" spans="2:65" x14ac:dyDescent="0.35">
      <c r="B16" s="22"/>
      <c r="C16" s="22"/>
      <c r="D16" s="22"/>
      <c r="E16" s="167" t="s">
        <v>53</v>
      </c>
      <c r="F16" s="167"/>
      <c r="G16" s="167"/>
      <c r="H16" s="21"/>
      <c r="I16" s="21"/>
      <c r="J16" s="21"/>
      <c r="K16" s="21"/>
      <c r="L16" s="21"/>
      <c r="V16" s="81" t="s">
        <v>125</v>
      </c>
      <c r="AP16" s="2"/>
      <c r="AQ16" s="2"/>
      <c r="AR16" s="2"/>
      <c r="AS16" s="2"/>
      <c r="AX16" s="95" t="s">
        <v>107</v>
      </c>
      <c r="AY16" s="95" t="s">
        <v>90</v>
      </c>
      <c r="AZ16" s="62">
        <v>1.6511627906976661E-2</v>
      </c>
      <c r="BA16" s="62">
        <v>8.1523288295993288E-3</v>
      </c>
      <c r="BB16" s="62">
        <v>4.7459426240956476E-2</v>
      </c>
      <c r="BC16" s="62">
        <v>-2.1549458635552066E-3</v>
      </c>
      <c r="BD16" s="62">
        <v>3.4245187436676865E-2</v>
      </c>
      <c r="BE16" s="62">
        <v>-7.5473512162293407E-3</v>
      </c>
      <c r="BF16" s="62">
        <v>3.2685681470137916E-2</v>
      </c>
      <c r="BG16" s="102">
        <v>-9.5524017467265437E-4</v>
      </c>
    </row>
    <row r="17" spans="2:59" x14ac:dyDescent="0.35">
      <c r="V17" s="24"/>
      <c r="AL17" t="s">
        <v>136</v>
      </c>
      <c r="AP17" s="2"/>
      <c r="AQ17" s="2"/>
      <c r="AR17" s="2"/>
      <c r="AS17" s="2"/>
      <c r="AX17" s="95" t="s">
        <v>107</v>
      </c>
      <c r="AY17" s="95" t="s">
        <v>61</v>
      </c>
      <c r="AZ17" s="62">
        <v>2.5606060606060743E-2</v>
      </c>
      <c r="BA17" s="62">
        <v>4.5601647543393785E-3</v>
      </c>
      <c r="BB17" s="62">
        <v>1.3368397983782733E-2</v>
      </c>
      <c r="BC17" s="62">
        <v>1.2654587287891794E-2</v>
      </c>
      <c r="BD17" s="62">
        <v>2.388017521548692E-2</v>
      </c>
      <c r="BE17" s="62">
        <v>2.7134986225895222E-2</v>
      </c>
      <c r="BF17" s="62">
        <v>3.1137244420686674E-2</v>
      </c>
      <c r="BG17" s="102">
        <v>3.2860824742268042E-2</v>
      </c>
    </row>
    <row r="18" spans="2:59" x14ac:dyDescent="0.35">
      <c r="V18" s="23" t="s">
        <v>126</v>
      </c>
      <c r="AX18" s="95" t="s">
        <v>107</v>
      </c>
      <c r="AY18" s="95" t="s">
        <v>23</v>
      </c>
      <c r="AZ18" s="62">
        <v>3.3511043412033335E-2</v>
      </c>
      <c r="BA18" s="62">
        <v>2.2026431718061675E-2</v>
      </c>
      <c r="BB18" s="62">
        <v>1.7204301075268859E-2</v>
      </c>
      <c r="BC18" s="62">
        <v>1.8258426966292093E-2</v>
      </c>
      <c r="BD18" s="62">
        <v>3.5911602209944667E-2</v>
      </c>
      <c r="BE18" s="62">
        <v>3.9072847682119244E-2</v>
      </c>
      <c r="BF18" s="62">
        <v>3.3650793650793723E-2</v>
      </c>
      <c r="BG18" s="102">
        <v>2.8746177370030511E-2</v>
      </c>
    </row>
    <row r="19" spans="2:59" x14ac:dyDescent="0.35">
      <c r="V19" s="24"/>
    </row>
    <row r="20" spans="2:59" x14ac:dyDescent="0.35">
      <c r="B20" s="168" t="s">
        <v>78</v>
      </c>
      <c r="C20" s="168"/>
      <c r="D20" s="168"/>
      <c r="E20" s="168"/>
      <c r="F20" s="168"/>
      <c r="J20" t="s">
        <v>75</v>
      </c>
      <c r="V20" s="24"/>
      <c r="AK20" s="141" t="s">
        <v>93</v>
      </c>
      <c r="AL20" s="139" t="s">
        <v>34</v>
      </c>
      <c r="AM20" s="139"/>
      <c r="AN20" s="139"/>
      <c r="AO20" s="139" t="s">
        <v>30</v>
      </c>
      <c r="AP20" s="139"/>
      <c r="AQ20" s="139"/>
      <c r="AR20" s="38" t="s">
        <v>33</v>
      </c>
      <c r="AS20" s="38"/>
      <c r="AT20" s="38"/>
    </row>
    <row r="21" spans="2:59" x14ac:dyDescent="0.35">
      <c r="B21" s="168" t="s">
        <v>79</v>
      </c>
      <c r="C21" s="168"/>
      <c r="D21" s="168"/>
      <c r="E21" s="168"/>
      <c r="F21" s="168"/>
      <c r="V21" s="81"/>
      <c r="AK21" s="142"/>
      <c r="AL21" s="39">
        <v>44713</v>
      </c>
      <c r="AM21" s="39">
        <v>45047</v>
      </c>
      <c r="AN21" s="39" t="s">
        <v>92</v>
      </c>
      <c r="AO21" s="39">
        <v>44713</v>
      </c>
      <c r="AP21" s="39">
        <v>45047</v>
      </c>
      <c r="AQ21" s="39" t="s">
        <v>92</v>
      </c>
      <c r="AR21" s="39">
        <v>44713</v>
      </c>
      <c r="AS21" s="39">
        <v>45047</v>
      </c>
      <c r="AT21" s="40" t="s">
        <v>92</v>
      </c>
    </row>
    <row r="22" spans="2:59" x14ac:dyDescent="0.35">
      <c r="J22" s="15" t="s">
        <v>83</v>
      </c>
      <c r="V22" s="81" t="s">
        <v>127</v>
      </c>
      <c r="AK22" s="38" t="s">
        <v>3</v>
      </c>
      <c r="AL22" s="10">
        <v>155</v>
      </c>
      <c r="AM22" s="10">
        <v>173.7</v>
      </c>
      <c r="AN22" s="30">
        <f>(AM22-AL22)/AL22</f>
        <v>0.1206451612903225</v>
      </c>
      <c r="AO22" s="10">
        <v>153.80000000000001</v>
      </c>
      <c r="AP22" s="10">
        <v>173.2</v>
      </c>
      <c r="AQ22" s="30">
        <f>(AP22-AO22)/AO22</f>
        <v>0.12613784135240558</v>
      </c>
      <c r="AR22" s="10">
        <v>157.5</v>
      </c>
      <c r="AS22" s="10">
        <v>174.7</v>
      </c>
      <c r="AT22" s="30">
        <f>(AS22-AR22)/AR22</f>
        <v>0.10920634920634914</v>
      </c>
    </row>
    <row r="23" spans="2:59" x14ac:dyDescent="0.35">
      <c r="J23" t="s">
        <v>69</v>
      </c>
      <c r="V23" s="24"/>
      <c r="AK23" s="38" t="s">
        <v>4</v>
      </c>
      <c r="AL23" s="10">
        <v>219.4</v>
      </c>
      <c r="AM23" s="10">
        <v>214.3</v>
      </c>
      <c r="AN23" s="30">
        <f t="shared" ref="AN23:AN34" si="0">(AM23-AL23)/AL23</f>
        <v>-2.3245214220601614E-2</v>
      </c>
      <c r="AO23" s="10">
        <v>217.2</v>
      </c>
      <c r="AP23" s="10">
        <v>211.5</v>
      </c>
      <c r="AQ23" s="30">
        <f t="shared" ref="AQ23:AQ34" si="1">(AP23-AO23)/AO23</f>
        <v>-2.6243093922651884E-2</v>
      </c>
      <c r="AR23" s="10">
        <v>223.4</v>
      </c>
      <c r="AS23" s="10">
        <v>219.4</v>
      </c>
      <c r="AT23" s="30">
        <f t="shared" ref="AT23:AT34" si="2">(AS23-AR23)/AR23</f>
        <v>-1.7905102954341987E-2</v>
      </c>
    </row>
    <row r="24" spans="2:59" x14ac:dyDescent="0.35">
      <c r="V24" s="23" t="s">
        <v>128</v>
      </c>
      <c r="AK24" s="38" t="s">
        <v>5</v>
      </c>
      <c r="AL24" s="10">
        <v>170.8</v>
      </c>
      <c r="AM24" s="10">
        <v>173.2</v>
      </c>
      <c r="AN24" s="30">
        <f t="shared" si="0"/>
        <v>1.4051522248243426E-2</v>
      </c>
      <c r="AO24" s="10">
        <v>169.6</v>
      </c>
      <c r="AP24" s="10">
        <v>171</v>
      </c>
      <c r="AQ24" s="30">
        <f t="shared" si="1"/>
        <v>8.2547169811321101E-3</v>
      </c>
      <c r="AR24" s="10">
        <v>172.8</v>
      </c>
      <c r="AS24" s="10">
        <v>176.7</v>
      </c>
      <c r="AT24" s="30">
        <f t="shared" si="2"/>
        <v>2.2569444444444312E-2</v>
      </c>
    </row>
    <row r="25" spans="2:59" x14ac:dyDescent="0.35">
      <c r="V25" s="24"/>
      <c r="AK25" s="38" t="s">
        <v>6</v>
      </c>
      <c r="AL25" s="10">
        <v>165.8</v>
      </c>
      <c r="AM25" s="10">
        <v>179.5</v>
      </c>
      <c r="AN25" s="30">
        <f t="shared" si="0"/>
        <v>8.2629674306393175E-2</v>
      </c>
      <c r="AO25" s="10">
        <v>165.4</v>
      </c>
      <c r="AP25" s="10">
        <v>179.6</v>
      </c>
      <c r="AQ25" s="30">
        <f t="shared" si="1"/>
        <v>8.5852478839177682E-2</v>
      </c>
      <c r="AR25" s="10">
        <v>166.4</v>
      </c>
      <c r="AS25" s="10">
        <v>179.4</v>
      </c>
      <c r="AT25" s="30">
        <f t="shared" si="2"/>
        <v>7.8125E-2</v>
      </c>
    </row>
    <row r="26" spans="2:59" x14ac:dyDescent="0.35">
      <c r="V26" s="24"/>
      <c r="AK26" s="38" t="s">
        <v>7</v>
      </c>
      <c r="AL26" s="10">
        <v>200.9</v>
      </c>
      <c r="AM26" s="10">
        <v>170</v>
      </c>
      <c r="AN26" s="30">
        <f t="shared" si="0"/>
        <v>-0.15380786460925835</v>
      </c>
      <c r="AO26" s="10">
        <v>208.1</v>
      </c>
      <c r="AP26" s="10">
        <v>173.3</v>
      </c>
      <c r="AQ26" s="30">
        <f t="shared" si="1"/>
        <v>-0.16722729456991822</v>
      </c>
      <c r="AR26" s="10">
        <v>188.6</v>
      </c>
      <c r="AS26" s="10">
        <v>164.4</v>
      </c>
      <c r="AT26" s="30">
        <f t="shared" si="2"/>
        <v>-0.12831389183457045</v>
      </c>
    </row>
    <row r="27" spans="2:59" x14ac:dyDescent="0.35">
      <c r="V27" s="81"/>
      <c r="AK27" s="38" t="s">
        <v>8</v>
      </c>
      <c r="AL27" s="10">
        <v>169.7</v>
      </c>
      <c r="AM27" s="10">
        <v>172.2</v>
      </c>
      <c r="AN27" s="30">
        <f t="shared" si="0"/>
        <v>1.4731879787860933E-2</v>
      </c>
      <c r="AO27" s="10">
        <v>165.8</v>
      </c>
      <c r="AP27" s="10">
        <v>169</v>
      </c>
      <c r="AQ27" s="30">
        <f t="shared" si="1"/>
        <v>1.9300361881785213E-2</v>
      </c>
      <c r="AR27" s="10">
        <v>174.1</v>
      </c>
      <c r="AS27" s="10">
        <v>175.8</v>
      </c>
      <c r="AT27" s="30">
        <f t="shared" si="2"/>
        <v>9.7645031591040623E-3</v>
      </c>
    </row>
    <row r="28" spans="2:59" x14ac:dyDescent="0.35">
      <c r="V28" s="82" t="s">
        <v>129</v>
      </c>
      <c r="AK28" s="38" t="s">
        <v>9</v>
      </c>
      <c r="AL28" s="10">
        <v>182.3</v>
      </c>
      <c r="AM28" s="10">
        <v>161</v>
      </c>
      <c r="AN28" s="30">
        <f t="shared" si="0"/>
        <v>-0.11684037301151953</v>
      </c>
      <c r="AO28" s="10">
        <v>167.3</v>
      </c>
      <c r="AP28" s="10">
        <v>148.69999999999999</v>
      </c>
      <c r="AQ28" s="30">
        <f t="shared" si="1"/>
        <v>-0.11117752540346695</v>
      </c>
      <c r="AR28" s="10">
        <v>211.5</v>
      </c>
      <c r="AS28" s="10">
        <v>185</v>
      </c>
      <c r="AT28" s="30">
        <f t="shared" si="2"/>
        <v>-0.12529550827423167</v>
      </c>
    </row>
    <row r="29" spans="2:59" x14ac:dyDescent="0.35">
      <c r="V29" s="24"/>
      <c r="AK29" s="38" t="s">
        <v>10</v>
      </c>
      <c r="AL29" s="10">
        <v>164.3</v>
      </c>
      <c r="AM29" s="10">
        <v>175.6</v>
      </c>
      <c r="AN29" s="30">
        <f t="shared" si="0"/>
        <v>6.8776628119293873E-2</v>
      </c>
      <c r="AO29" s="10">
        <v>164.6</v>
      </c>
      <c r="AP29" s="10">
        <v>174.9</v>
      </c>
      <c r="AQ29" s="30">
        <f t="shared" si="1"/>
        <v>6.2575941676792299E-2</v>
      </c>
      <c r="AR29" s="10">
        <v>163.6</v>
      </c>
      <c r="AS29" s="10">
        <v>176.9</v>
      </c>
      <c r="AT29" s="30">
        <f t="shared" si="2"/>
        <v>8.1295843520782465E-2</v>
      </c>
    </row>
    <row r="30" spans="2:59" ht="17.5" x14ac:dyDescent="0.35">
      <c r="J30" s="149" t="s">
        <v>84</v>
      </c>
      <c r="K30" s="149"/>
      <c r="L30" s="149"/>
      <c r="M30" s="149"/>
      <c r="N30" s="149"/>
      <c r="O30" s="149"/>
      <c r="P30" s="149"/>
      <c r="V30" s="23" t="s">
        <v>130</v>
      </c>
      <c r="AK30" s="38" t="s">
        <v>11</v>
      </c>
      <c r="AL30" s="10">
        <v>119.9</v>
      </c>
      <c r="AM30" s="10">
        <v>122.7</v>
      </c>
      <c r="AN30" s="30">
        <f t="shared" si="0"/>
        <v>2.3352793994995805E-2</v>
      </c>
      <c r="AO30" s="10">
        <v>119.1</v>
      </c>
      <c r="AP30" s="10">
        <v>121.9</v>
      </c>
      <c r="AQ30" s="30">
        <f t="shared" si="1"/>
        <v>2.350965575146945E-2</v>
      </c>
      <c r="AR30" s="10">
        <v>121.4</v>
      </c>
      <c r="AS30" s="10">
        <v>124.2</v>
      </c>
      <c r="AT30" s="30">
        <f t="shared" si="2"/>
        <v>2.3064250411861591E-2</v>
      </c>
      <c r="AX30" t="s">
        <v>157</v>
      </c>
    </row>
    <row r="31" spans="2:59" x14ac:dyDescent="0.35">
      <c r="V31" s="24"/>
      <c r="AK31" s="38" t="s">
        <v>12</v>
      </c>
      <c r="AL31" s="10">
        <v>187.1</v>
      </c>
      <c r="AM31" s="10">
        <v>218</v>
      </c>
      <c r="AN31" s="30">
        <f t="shared" si="0"/>
        <v>0.16515232495991453</v>
      </c>
      <c r="AO31" s="10">
        <v>188.9</v>
      </c>
      <c r="AP31" s="10">
        <v>221</v>
      </c>
      <c r="AQ31" s="30">
        <f t="shared" si="1"/>
        <v>0.16993118051879297</v>
      </c>
      <c r="AR31" s="10">
        <v>183.5</v>
      </c>
      <c r="AS31" s="10">
        <v>211.9</v>
      </c>
      <c r="AT31" s="30">
        <f t="shared" si="2"/>
        <v>0.15476839237057224</v>
      </c>
    </row>
    <row r="32" spans="2:59" x14ac:dyDescent="0.35">
      <c r="V32" s="24"/>
      <c r="AK32" s="38" t="s">
        <v>13</v>
      </c>
      <c r="AL32" s="10">
        <v>167.9</v>
      </c>
      <c r="AM32" s="10">
        <v>173.4</v>
      </c>
      <c r="AN32" s="30">
        <f t="shared" si="0"/>
        <v>3.2757593805836809E-2</v>
      </c>
      <c r="AO32" s="10">
        <v>174.2</v>
      </c>
      <c r="AP32" s="10">
        <v>178.7</v>
      </c>
      <c r="AQ32" s="30">
        <f t="shared" si="1"/>
        <v>2.5832376578645237E-2</v>
      </c>
      <c r="AR32" s="10">
        <v>159.1</v>
      </c>
      <c r="AS32" s="10">
        <v>165.9</v>
      </c>
      <c r="AT32" s="30">
        <f t="shared" si="2"/>
        <v>4.2740414833438163E-2</v>
      </c>
      <c r="AX32" s="46" t="s">
        <v>114</v>
      </c>
      <c r="AY32" s="46" t="s">
        <v>56</v>
      </c>
      <c r="AZ32" s="46" t="s">
        <v>110</v>
      </c>
      <c r="BA32" s="46" t="s">
        <v>111</v>
      </c>
      <c r="BB32" s="46" t="s">
        <v>112</v>
      </c>
      <c r="BC32" s="46" t="s">
        <v>113</v>
      </c>
    </row>
    <row r="33" spans="6:55" x14ac:dyDescent="0.35">
      <c r="K33" t="s">
        <v>259</v>
      </c>
      <c r="V33" s="81"/>
      <c r="AK33" s="38" t="s">
        <v>14</v>
      </c>
      <c r="AL33" s="10">
        <v>183.9</v>
      </c>
      <c r="AM33" s="10">
        <v>194.2</v>
      </c>
      <c r="AN33" s="30">
        <f t="shared" si="0"/>
        <v>5.6008700380641561E-2</v>
      </c>
      <c r="AO33" s="10">
        <v>181.9</v>
      </c>
      <c r="AP33" s="10">
        <v>191.1</v>
      </c>
      <c r="AQ33" s="30">
        <f t="shared" si="1"/>
        <v>5.0577240241891086E-2</v>
      </c>
      <c r="AR33" s="10">
        <v>186.3</v>
      </c>
      <c r="AS33" s="10">
        <v>197.7</v>
      </c>
      <c r="AT33" s="30">
        <f t="shared" si="2"/>
        <v>6.119162640901759E-2</v>
      </c>
      <c r="AX33" s="47" t="s">
        <v>106</v>
      </c>
      <c r="AY33" s="47" t="s">
        <v>90</v>
      </c>
      <c r="AZ33" s="28">
        <v>3.3008935177281785E-3</v>
      </c>
      <c r="BA33" s="28">
        <v>6.6389107685383281E-2</v>
      </c>
      <c r="BB33" s="28">
        <v>4.1253956907995486E-2</v>
      </c>
      <c r="BC33" s="28">
        <v>5.8185165447410675E-2</v>
      </c>
    </row>
    <row r="34" spans="6:55" x14ac:dyDescent="0.35">
      <c r="V34" s="81" t="s">
        <v>131</v>
      </c>
      <c r="AK34" s="38" t="s">
        <v>15</v>
      </c>
      <c r="AL34" s="10">
        <v>174.9</v>
      </c>
      <c r="AM34" s="10">
        <v>179.1</v>
      </c>
      <c r="AN34" s="30">
        <f t="shared" si="0"/>
        <v>2.4013722126929607E-2</v>
      </c>
      <c r="AO34" s="10">
        <v>172.4</v>
      </c>
      <c r="AP34" s="10">
        <v>176.8</v>
      </c>
      <c r="AQ34" s="30">
        <f t="shared" si="1"/>
        <v>2.5522041763341101E-2</v>
      </c>
      <c r="AR34" s="10">
        <v>179.3</v>
      </c>
      <c r="AS34" s="10">
        <v>183.1</v>
      </c>
      <c r="AT34" s="30">
        <f t="shared" si="2"/>
        <v>2.1193530395984286E-2</v>
      </c>
      <c r="AX34" s="47" t="s">
        <v>106</v>
      </c>
      <c r="AY34" s="47" t="s">
        <v>61</v>
      </c>
      <c r="AZ34" s="28">
        <v>2.9160017408965816E-2</v>
      </c>
      <c r="BA34" s="28">
        <v>2.5175808720112644E-2</v>
      </c>
      <c r="BB34" s="28">
        <v>4.9146757679180884E-2</v>
      </c>
      <c r="BC34" s="28">
        <v>7.8029812054439318E-2</v>
      </c>
    </row>
    <row r="35" spans="6:55" x14ac:dyDescent="0.35">
      <c r="F35" s="97"/>
      <c r="G35" s="97"/>
      <c r="H35" s="97"/>
      <c r="I35" s="97"/>
      <c r="J35" s="97"/>
      <c r="K35" s="97"/>
      <c r="L35" s="97"/>
      <c r="M35" s="97"/>
      <c r="N35" s="97"/>
      <c r="O35" s="97"/>
      <c r="P35" s="97"/>
      <c r="Q35" s="97"/>
      <c r="R35" s="97"/>
      <c r="AX35" s="47" t="s">
        <v>106</v>
      </c>
      <c r="AY35" s="47" t="s">
        <v>23</v>
      </c>
      <c r="AZ35" s="28">
        <v>8.1360946745562143E-2</v>
      </c>
      <c r="BA35" s="28">
        <v>3.9235755714773113E-2</v>
      </c>
      <c r="BB35" s="28">
        <v>7.2992700729927015E-2</v>
      </c>
      <c r="BC35" s="28">
        <v>6.5927295132470656E-2</v>
      </c>
    </row>
    <row r="36" spans="6:55" x14ac:dyDescent="0.35">
      <c r="F36" s="97"/>
      <c r="G36" s="97"/>
      <c r="H36" s="97"/>
      <c r="I36" s="97"/>
      <c r="J36" s="97"/>
      <c r="K36" s="97"/>
      <c r="L36" s="97"/>
      <c r="M36" s="97"/>
      <c r="N36" s="97"/>
      <c r="O36" s="97"/>
      <c r="P36" s="97"/>
      <c r="Q36" s="97"/>
      <c r="R36" s="97"/>
      <c r="AX36" s="59" t="s">
        <v>30</v>
      </c>
      <c r="AY36" s="59" t="s">
        <v>90</v>
      </c>
      <c r="AZ36" s="28">
        <v>-1.0561797752808799E-2</v>
      </c>
      <c r="BA36" s="28">
        <v>6.9398583241610551E-2</v>
      </c>
      <c r="BB36" s="28">
        <v>3.8802755508452885E-2</v>
      </c>
      <c r="BC36" s="28">
        <v>6.3234935350085564E-2</v>
      </c>
    </row>
    <row r="37" spans="6:55" x14ac:dyDescent="0.35">
      <c r="F37" s="97"/>
      <c r="G37" s="97"/>
      <c r="H37" s="97"/>
      <c r="I37" s="97"/>
      <c r="J37" s="97"/>
      <c r="K37" s="97"/>
      <c r="L37" s="97"/>
      <c r="M37" s="97"/>
      <c r="N37" s="97"/>
      <c r="O37" s="97"/>
      <c r="P37" s="97"/>
      <c r="Q37" s="97"/>
      <c r="R37" s="97"/>
      <c r="AX37" s="59" t="s">
        <v>30</v>
      </c>
      <c r="AY37" s="59" t="s">
        <v>61</v>
      </c>
      <c r="AZ37" s="28">
        <v>2.9374560787069539E-2</v>
      </c>
      <c r="BA37" s="28">
        <v>2.2549219974112772E-2</v>
      </c>
      <c r="BB37" s="28">
        <v>4.4631020768890799E-2</v>
      </c>
      <c r="BC37" s="28">
        <v>8.186986734049298E-2</v>
      </c>
    </row>
    <row r="38" spans="6:55" ht="17.5" x14ac:dyDescent="0.35">
      <c r="F38" s="97"/>
      <c r="G38" s="97"/>
      <c r="H38" s="97"/>
      <c r="I38" s="97"/>
      <c r="J38" s="97"/>
      <c r="K38" s="97"/>
      <c r="L38" s="97"/>
      <c r="M38" s="97"/>
      <c r="N38" s="97"/>
      <c r="O38" s="97"/>
      <c r="P38" s="97"/>
      <c r="Q38" s="97"/>
      <c r="R38" s="97"/>
      <c r="V38" s="25"/>
      <c r="AX38" s="59" t="s">
        <v>30</v>
      </c>
      <c r="AY38" s="59" t="s">
        <v>23</v>
      </c>
      <c r="AZ38" s="28">
        <v>9.302325581395357E-2</v>
      </c>
      <c r="BA38" s="28">
        <v>3.8780245276764769E-2</v>
      </c>
      <c r="BB38" s="28">
        <v>6.6753078418664819E-2</v>
      </c>
      <c r="BC38" s="28">
        <v>6.4730792498487524E-2</v>
      </c>
    </row>
    <row r="39" spans="6:55" x14ac:dyDescent="0.35">
      <c r="F39" s="97"/>
      <c r="G39" s="97"/>
      <c r="H39" s="97"/>
      <c r="I39" s="97"/>
      <c r="J39" s="97"/>
      <c r="K39" s="97"/>
      <c r="L39" s="97"/>
      <c r="M39" s="97"/>
      <c r="N39" s="97"/>
      <c r="O39" s="97"/>
      <c r="P39" s="97"/>
      <c r="Q39" s="97"/>
      <c r="R39" s="97"/>
      <c r="AK39" s="141" t="s">
        <v>93</v>
      </c>
      <c r="AL39" s="40" t="s">
        <v>34</v>
      </c>
      <c r="AM39" s="40" t="s">
        <v>30</v>
      </c>
      <c r="AN39" s="40" t="s">
        <v>33</v>
      </c>
      <c r="AX39" s="60" t="s">
        <v>107</v>
      </c>
      <c r="AY39" s="60" t="s">
        <v>90</v>
      </c>
      <c r="AZ39" s="28">
        <v>2.8139534883720847E-2</v>
      </c>
      <c r="BA39" s="28">
        <v>6.0644152071286879E-2</v>
      </c>
      <c r="BB39" s="28">
        <v>4.5845997973657321E-2</v>
      </c>
      <c r="BC39" s="28">
        <v>5.1062404287902124E-2</v>
      </c>
    </row>
    <row r="40" spans="6:55" x14ac:dyDescent="0.35">
      <c r="F40" s="97"/>
      <c r="G40" s="97"/>
      <c r="H40" s="97"/>
      <c r="I40" s="97"/>
      <c r="J40" s="97"/>
      <c r="K40" s="97"/>
      <c r="L40" s="97"/>
      <c r="M40" s="97"/>
      <c r="N40" s="97"/>
      <c r="O40" s="97"/>
      <c r="P40" s="97"/>
      <c r="Q40" s="97"/>
      <c r="R40" s="97"/>
      <c r="AK40" s="142"/>
      <c r="AL40" s="40" t="s">
        <v>116</v>
      </c>
      <c r="AM40" s="40" t="s">
        <v>116</v>
      </c>
      <c r="AN40" s="40" t="s">
        <v>116</v>
      </c>
      <c r="AX40" s="60" t="s">
        <v>107</v>
      </c>
      <c r="AY40" s="60" t="s">
        <v>61</v>
      </c>
      <c r="AZ40" s="28">
        <v>3.469696969696949E-2</v>
      </c>
      <c r="BA40" s="28">
        <v>2.8855285265541843E-2</v>
      </c>
      <c r="BB40" s="28">
        <v>5.3695068531863788E-2</v>
      </c>
      <c r="BC40" s="28">
        <v>7.1094480823199149E-2</v>
      </c>
    </row>
    <row r="41" spans="6:55" x14ac:dyDescent="0.35">
      <c r="F41" s="97"/>
      <c r="G41" s="97"/>
      <c r="H41" s="97"/>
      <c r="I41" s="97"/>
      <c r="J41" s="97"/>
      <c r="K41" s="97"/>
      <c r="L41" s="97"/>
      <c r="M41" s="97"/>
      <c r="N41" s="97"/>
      <c r="O41" s="97"/>
      <c r="P41" s="97"/>
      <c r="Q41" s="97"/>
      <c r="R41" s="97"/>
      <c r="AK41" s="38" t="s">
        <v>3</v>
      </c>
      <c r="AL41" s="30">
        <v>0.1206451612903225</v>
      </c>
      <c r="AM41" s="30">
        <v>0.12613784135240558</v>
      </c>
      <c r="AN41" s="30">
        <v>0.109206349206349</v>
      </c>
      <c r="AX41" s="60" t="s">
        <v>107</v>
      </c>
      <c r="AY41" s="60" t="s">
        <v>23</v>
      </c>
      <c r="AZ41" s="28">
        <v>6.0167555217059993E-2</v>
      </c>
      <c r="BA41" s="28">
        <v>3.9426523297491037E-2</v>
      </c>
      <c r="BB41" s="28">
        <v>8.3563535911602163E-2</v>
      </c>
      <c r="BC41" s="28">
        <v>6.7936507936507864E-2</v>
      </c>
    </row>
    <row r="42" spans="6:55" x14ac:dyDescent="0.35">
      <c r="F42" s="97"/>
      <c r="G42" s="97"/>
      <c r="H42" s="97"/>
      <c r="I42" s="97"/>
      <c r="J42" s="97"/>
      <c r="K42" s="97"/>
      <c r="L42" s="97"/>
      <c r="M42" s="97"/>
      <c r="N42" s="97"/>
      <c r="O42" s="97"/>
      <c r="P42" s="97"/>
      <c r="Q42" s="97"/>
      <c r="R42" s="97"/>
      <c r="AK42" s="38" t="s">
        <v>4</v>
      </c>
      <c r="AL42" s="30">
        <v>-2.3245214220601614E-2</v>
      </c>
      <c r="AM42" s="30">
        <v>-2.6243093922651884E-2</v>
      </c>
      <c r="AN42" s="30">
        <v>-1.7905102954341987E-2</v>
      </c>
    </row>
    <row r="43" spans="6:55" x14ac:dyDescent="0.35">
      <c r="AK43" s="38" t="s">
        <v>5</v>
      </c>
      <c r="AL43" s="30">
        <v>1.4051522248243426E-2</v>
      </c>
      <c r="AM43" s="30">
        <v>8.2547169811321101E-3</v>
      </c>
      <c r="AN43" s="30">
        <v>2.2569444444444312E-2</v>
      </c>
    </row>
    <row r="44" spans="6:55" x14ac:dyDescent="0.35">
      <c r="AK44" s="38" t="s">
        <v>6</v>
      </c>
      <c r="AL44" s="30">
        <v>8.2629674306393175E-2</v>
      </c>
      <c r="AM44" s="30">
        <v>8.5852478839177682E-2</v>
      </c>
      <c r="AN44" s="30">
        <v>7.8125E-2</v>
      </c>
    </row>
    <row r="45" spans="6:55" x14ac:dyDescent="0.35">
      <c r="AK45" s="38" t="s">
        <v>7</v>
      </c>
      <c r="AL45" s="30">
        <v>-0.15380786460925835</v>
      </c>
      <c r="AM45" s="30">
        <v>-0.16722729456991822</v>
      </c>
      <c r="AN45" s="30">
        <v>-0.12831389183457045</v>
      </c>
    </row>
    <row r="46" spans="6:55" x14ac:dyDescent="0.35">
      <c r="AK46" s="38" t="s">
        <v>8</v>
      </c>
      <c r="AL46" s="30">
        <v>1.4731879787860933E-2</v>
      </c>
      <c r="AM46" s="30">
        <v>1.9300361881785213E-2</v>
      </c>
      <c r="AN46" s="30">
        <v>9.7645031591040623E-3</v>
      </c>
    </row>
    <row r="47" spans="6:55" x14ac:dyDescent="0.35">
      <c r="AK47" s="38" t="s">
        <v>9</v>
      </c>
      <c r="AL47" s="30">
        <v>-0.11684037301151953</v>
      </c>
      <c r="AM47" s="30">
        <v>-0.11117752540346695</v>
      </c>
      <c r="AN47" s="30">
        <v>-0.12529550827423167</v>
      </c>
    </row>
    <row r="48" spans="6:55" x14ac:dyDescent="0.35">
      <c r="AK48" s="38" t="s">
        <v>10</v>
      </c>
      <c r="AL48" s="30">
        <v>6.8776628119293873E-2</v>
      </c>
      <c r="AM48" s="30">
        <v>6.2575941676792299E-2</v>
      </c>
      <c r="AN48" s="30">
        <v>8.1295843520782465E-2</v>
      </c>
    </row>
    <row r="49" spans="37:40" x14ac:dyDescent="0.35">
      <c r="AK49" s="38" t="s">
        <v>11</v>
      </c>
      <c r="AL49" s="30">
        <v>2.3352793994995805E-2</v>
      </c>
      <c r="AM49" s="30">
        <v>2.350965575146945E-2</v>
      </c>
      <c r="AN49" s="30">
        <v>2.3064250411861591E-2</v>
      </c>
    </row>
    <row r="50" spans="37:40" x14ac:dyDescent="0.35">
      <c r="AK50" s="90" t="s">
        <v>12</v>
      </c>
      <c r="AL50" s="41">
        <v>0.16515232495991453</v>
      </c>
      <c r="AM50" s="41">
        <v>0.16993118051879297</v>
      </c>
      <c r="AN50" s="41">
        <v>0.15476839237057224</v>
      </c>
    </row>
    <row r="51" spans="37:40" x14ac:dyDescent="0.35">
      <c r="AK51" s="38" t="s">
        <v>13</v>
      </c>
      <c r="AL51" s="30">
        <v>3.2757593805836809E-2</v>
      </c>
      <c r="AM51" s="30">
        <v>2.5832376578645237E-2</v>
      </c>
      <c r="AN51" s="30">
        <v>4.2740414833438163E-2</v>
      </c>
    </row>
    <row r="52" spans="37:40" x14ac:dyDescent="0.35">
      <c r="AK52" s="38" t="s">
        <v>14</v>
      </c>
      <c r="AL52" s="30">
        <v>5.6008700380641561E-2</v>
      </c>
      <c r="AM52" s="30">
        <v>5.0577240241891086E-2</v>
      </c>
      <c r="AN52" s="30">
        <v>6.119162640901759E-2</v>
      </c>
    </row>
    <row r="53" spans="37:40" x14ac:dyDescent="0.35">
      <c r="AK53" s="38" t="s">
        <v>15</v>
      </c>
      <c r="AL53" s="30">
        <v>2.4013722126929607E-2</v>
      </c>
      <c r="AM53" s="30">
        <v>2.5522041763341101E-2</v>
      </c>
      <c r="AN53" s="30">
        <v>2.1193530395984286E-2</v>
      </c>
    </row>
    <row r="58" spans="37:40" x14ac:dyDescent="0.35">
      <c r="AK58" t="s">
        <v>96</v>
      </c>
    </row>
    <row r="60" spans="37:40" x14ac:dyDescent="0.35">
      <c r="AK60" t="s">
        <v>95</v>
      </c>
    </row>
    <row r="61" spans="37:40" x14ac:dyDescent="0.35">
      <c r="AK61" t="s">
        <v>94</v>
      </c>
    </row>
    <row r="63" spans="37:40" x14ac:dyDescent="0.35">
      <c r="AK63" t="s">
        <v>34</v>
      </c>
      <c r="AL63" s="28">
        <v>0.16515232495991453</v>
      </c>
    </row>
    <row r="64" spans="37:40" x14ac:dyDescent="0.35">
      <c r="AK64" t="s">
        <v>30</v>
      </c>
      <c r="AL64" s="28">
        <v>0.16993118051879297</v>
      </c>
    </row>
    <row r="65" spans="37:45" x14ac:dyDescent="0.35">
      <c r="AK65" t="s">
        <v>33</v>
      </c>
      <c r="AL65" s="28">
        <v>0.15476839237057224</v>
      </c>
    </row>
    <row r="71" spans="37:45" x14ac:dyDescent="0.35">
      <c r="AK71" s="141" t="s">
        <v>93</v>
      </c>
      <c r="AL71" s="40" t="s">
        <v>34</v>
      </c>
      <c r="AM71" s="40" t="s">
        <v>30</v>
      </c>
      <c r="AN71" s="40" t="s">
        <v>33</v>
      </c>
      <c r="AP71" s="2" t="s">
        <v>148</v>
      </c>
      <c r="AQ71" s="2"/>
      <c r="AR71" s="2"/>
      <c r="AS71" s="2"/>
    </row>
    <row r="72" spans="37:45" x14ac:dyDescent="0.35">
      <c r="AK72" s="142"/>
      <c r="AL72" s="40" t="s">
        <v>151</v>
      </c>
      <c r="AM72" s="40" t="s">
        <v>151</v>
      </c>
      <c r="AN72" s="40" t="s">
        <v>151</v>
      </c>
      <c r="AP72" s="2" t="s">
        <v>149</v>
      </c>
      <c r="AQ72" s="2"/>
      <c r="AR72" s="2"/>
      <c r="AS72" s="2"/>
    </row>
    <row r="73" spans="37:45" x14ac:dyDescent="0.35">
      <c r="AK73" s="38" t="s">
        <v>3</v>
      </c>
      <c r="AL73" s="92">
        <v>18.699999999999989</v>
      </c>
      <c r="AM73" s="92">
        <v>19.399999999999977</v>
      </c>
      <c r="AN73" s="92">
        <v>17.199999999999989</v>
      </c>
      <c r="AP73" s="2" t="s">
        <v>150</v>
      </c>
      <c r="AQ73" s="2"/>
      <c r="AR73" s="2"/>
      <c r="AS73" s="2"/>
    </row>
    <row r="74" spans="37:45" x14ac:dyDescent="0.35">
      <c r="AK74" s="38" t="s">
        <v>4</v>
      </c>
      <c r="AL74" s="92">
        <v>-5.0999999999999943</v>
      </c>
      <c r="AM74" s="92">
        <v>-5.6999999999999886</v>
      </c>
      <c r="AN74" s="92">
        <v>-4</v>
      </c>
    </row>
    <row r="75" spans="37:45" x14ac:dyDescent="0.35">
      <c r="AK75" s="38" t="s">
        <v>5</v>
      </c>
      <c r="AL75" s="92">
        <v>2.3999999999999773</v>
      </c>
      <c r="AM75" s="92">
        <v>1.4000000000000057</v>
      </c>
      <c r="AN75" s="92">
        <v>3.8999999999999773</v>
      </c>
    </row>
    <row r="76" spans="37:45" x14ac:dyDescent="0.35">
      <c r="AK76" s="38" t="s">
        <v>6</v>
      </c>
      <c r="AL76" s="92">
        <v>13.699999999999989</v>
      </c>
      <c r="AM76" s="92">
        <v>14.199999999999989</v>
      </c>
      <c r="AN76" s="92">
        <v>13</v>
      </c>
    </row>
    <row r="77" spans="37:45" x14ac:dyDescent="0.35">
      <c r="AK77" s="38" t="s">
        <v>7</v>
      </c>
      <c r="AL77" s="92">
        <v>-30.900000000000006</v>
      </c>
      <c r="AM77" s="92">
        <v>-34.799999999999983</v>
      </c>
      <c r="AN77" s="92">
        <v>-24.199999999999989</v>
      </c>
    </row>
    <row r="78" spans="37:45" x14ac:dyDescent="0.35">
      <c r="AK78" s="38" t="s">
        <v>8</v>
      </c>
      <c r="AL78" s="92">
        <v>2.5</v>
      </c>
      <c r="AM78" s="92">
        <v>3.1999999999999886</v>
      </c>
      <c r="AN78" s="92">
        <v>1.7000000000000171</v>
      </c>
    </row>
    <row r="79" spans="37:45" x14ac:dyDescent="0.35">
      <c r="AK79" s="38" t="s">
        <v>9</v>
      </c>
      <c r="AL79" s="92">
        <v>-21.300000000000011</v>
      </c>
      <c r="AM79" s="92">
        <v>-18.600000000000023</v>
      </c>
      <c r="AN79" s="92">
        <v>-26.5</v>
      </c>
    </row>
    <row r="80" spans="37:45" x14ac:dyDescent="0.35">
      <c r="AK80" s="38" t="s">
        <v>10</v>
      </c>
      <c r="AL80" s="92">
        <v>11.299999999999983</v>
      </c>
      <c r="AM80" s="92">
        <v>10.300000000000011</v>
      </c>
      <c r="AN80" s="92">
        <v>13.300000000000011</v>
      </c>
    </row>
    <row r="81" spans="37:40" x14ac:dyDescent="0.35">
      <c r="AK81" s="38" t="s">
        <v>11</v>
      </c>
      <c r="AL81" s="92">
        <v>2.7999999999999972</v>
      </c>
      <c r="AM81" s="92">
        <v>2.8000000000000114</v>
      </c>
      <c r="AN81" s="92">
        <v>2.7999999999999972</v>
      </c>
    </row>
    <row r="82" spans="37:40" x14ac:dyDescent="0.35">
      <c r="AK82" s="90" t="s">
        <v>12</v>
      </c>
      <c r="AL82" s="93">
        <v>30.900000000000006</v>
      </c>
      <c r="AM82" s="93">
        <v>32.099999999999994</v>
      </c>
      <c r="AN82" s="93">
        <v>28.400000000000006</v>
      </c>
    </row>
    <row r="83" spans="37:40" x14ac:dyDescent="0.35">
      <c r="AK83" s="38" t="s">
        <v>13</v>
      </c>
      <c r="AL83" s="92">
        <v>5.5</v>
      </c>
      <c r="AM83" s="92">
        <v>4.5</v>
      </c>
      <c r="AN83" s="92">
        <v>6.8000000000000114</v>
      </c>
    </row>
    <row r="84" spans="37:40" x14ac:dyDescent="0.35">
      <c r="AK84" s="38" t="s">
        <v>14</v>
      </c>
      <c r="AL84" s="92">
        <v>10.299999999999983</v>
      </c>
      <c r="AM84" s="92">
        <v>9.1999999999999886</v>
      </c>
      <c r="AN84" s="92">
        <v>11.399999999999977</v>
      </c>
    </row>
    <row r="85" spans="37:40" x14ac:dyDescent="0.35">
      <c r="AK85" s="38" t="s">
        <v>15</v>
      </c>
      <c r="AL85" s="92">
        <v>4.1999999999999886</v>
      </c>
      <c r="AM85" s="92">
        <v>4.4000000000000057</v>
      </c>
      <c r="AN85" s="92">
        <v>3.7999999999999829</v>
      </c>
    </row>
  </sheetData>
  <mergeCells count="14">
    <mergeCell ref="AO20:AQ20"/>
    <mergeCell ref="AK39:AK40"/>
    <mergeCell ref="J30:P30"/>
    <mergeCell ref="B20:F20"/>
    <mergeCell ref="B21:F21"/>
    <mergeCell ref="AK71:AK72"/>
    <mergeCell ref="B11:F11"/>
    <mergeCell ref="B7:F7"/>
    <mergeCell ref="AK20:AK21"/>
    <mergeCell ref="AL20:AN20"/>
    <mergeCell ref="E14:G14"/>
    <mergeCell ref="E13:G13"/>
    <mergeCell ref="E16:G16"/>
    <mergeCell ref="B13:C13"/>
  </mergeCells>
  <conditionalFormatting sqref="AN22:AN34">
    <cfRule type="colorScale" priority="3">
      <colorScale>
        <cfvo type="min"/>
        <cfvo type="percentile" val="50"/>
        <cfvo type="max"/>
        <color rgb="FFF8696B"/>
        <color rgb="FFFFEB84"/>
        <color rgb="FF63BE7B"/>
      </colorScale>
    </cfRule>
    <cfRule type="colorScale" priority="4">
      <colorScale>
        <cfvo type="min"/>
        <cfvo type="max"/>
        <color rgb="FFFCFCFF"/>
        <color rgb="FF63BE7B"/>
      </colorScale>
    </cfRule>
  </conditionalFormatting>
  <conditionalFormatting sqref="AQ22:AQ34">
    <cfRule type="colorScale" priority="2">
      <colorScale>
        <cfvo type="min"/>
        <cfvo type="percentile" val="50"/>
        <cfvo type="max"/>
        <color rgb="FFF8696B"/>
        <color rgb="FFFFEB84"/>
        <color rgb="FF63BE7B"/>
      </colorScale>
    </cfRule>
  </conditionalFormatting>
  <conditionalFormatting sqref="AT22:AT34">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datasheet</vt:lpstr>
      <vt:lpstr>Main datasheet</vt:lpstr>
      <vt:lpstr>Transposed sheet </vt:lpstr>
      <vt:lpstr>Imputation </vt:lpstr>
      <vt:lpstr>1.Contribuation</vt:lpstr>
      <vt:lpstr>2.Y-O-Y Inflation</vt:lpstr>
      <vt:lpstr>3.M-O-M | Absolute chnage </vt:lpstr>
      <vt:lpstr>4.COVID | Y-O-Y Impact</vt:lpstr>
      <vt:lpstr> 4.COVID | halfyearly IMP</vt:lpstr>
      <vt:lpstr>5.Crude Oil Price</vt:lpstr>
      <vt:lpstr>Crude Oil FOB Price,5</vt:lpstr>
      <vt:lpstr>notes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Shrivastava</dc:creator>
  <cp:lastModifiedBy>Sameer Shrivastava</cp:lastModifiedBy>
  <dcterms:created xsi:type="dcterms:W3CDTF">2025-06-07T12:35:59Z</dcterms:created>
  <dcterms:modified xsi:type="dcterms:W3CDTF">2025-11-13T18:47:12Z</dcterms:modified>
</cp:coreProperties>
</file>